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defaultThemeVersion="166925"/>
  <mc:AlternateContent xmlns:mc="http://schemas.openxmlformats.org/markup-compatibility/2006">
    <mc:Choice Requires="x15">
      <x15ac:absPath xmlns:x15ac="http://schemas.microsoft.com/office/spreadsheetml/2010/11/ac" url="/Users/garrettnelson/Downloads/"/>
    </mc:Choice>
  </mc:AlternateContent>
  <xr:revisionPtr revIDLastSave="0" documentId="8_{4FC70C36-510D-834A-BC85-CA7C026FAEB0}" xr6:coauthVersionLast="47" xr6:coauthVersionMax="47" xr10:uidLastSave="{00000000-0000-0000-0000-000000000000}"/>
  <bookViews>
    <workbookView xWindow="380" yWindow="500" windowWidth="28040" windowHeight="16580" xr2:uid="{53AB814F-7C61-1649-9B7A-6F9BD7E74F0A}"/>
  </bookViews>
  <sheets>
    <sheet name="Dashboard Summary" sheetId="7" r:id="rId1"/>
    <sheet name="Department_Spend_Mix" sheetId="4" r:id="rId2"/>
    <sheet name="Monthly_Department_Spend" sheetId="3" r:id="rId3"/>
    <sheet name="Data_Source_SQL_Export" sheetId="2" r:id="rId4"/>
    <sheet name="Budget_Variance_Analysis" sheetId="15" r:id="rId5"/>
    <sheet name="Trend_Data" sheetId="9" r:id="rId6"/>
    <sheet name="MoM_Analysis" sheetId="10" r:id="rId7"/>
    <sheet name="Risk Analysis" sheetId="11" r:id="rId8"/>
  </sheets>
  <definedNames>
    <definedName name="_xlchart.v1.0" hidden="1">Budget_Variance_Analysis!$A$3:$A$14</definedName>
    <definedName name="_xlchart.v1.1" hidden="1">Budget_Variance_Analysis!$D$2</definedName>
    <definedName name="_xlchart.v1.10" hidden="1">Budget_Variance_Analysis!$E$3:$E$14</definedName>
    <definedName name="_xlchart.v1.11" hidden="1">Budget_Variance_Analysis!$D$2</definedName>
    <definedName name="_xlchart.v1.12" hidden="1">Budget_Variance_Analysis!$D$3:$D$14</definedName>
    <definedName name="_xlchart.v1.13" hidden="1">Budget_Variance_Analysis!$E$3:$E$14</definedName>
    <definedName name="_xlchart.v1.14" hidden="1">Budget_Variance_Analysis!$D$2</definedName>
    <definedName name="_xlchart.v1.15" hidden="1">Budget_Variance_Analysis!$D$3:$D$14</definedName>
    <definedName name="_xlchart.v1.16" hidden="1">Budget_Variance_Analysis!$E$3:$E$14</definedName>
    <definedName name="_xlchart.v1.2" hidden="1">Budget_Variance_Analysis!$D$3:$D$14</definedName>
    <definedName name="_xlchart.v1.3" hidden="1">Budget_Variance_Analysis!$E$2</definedName>
    <definedName name="_xlchart.v1.4" hidden="1">Budget_Variance_Analysis!$F$3:$F$14</definedName>
    <definedName name="_xlchart.v1.5" hidden="1">Budget_Variance_Analysis!$D$2</definedName>
    <definedName name="_xlchart.v1.6" hidden="1">Budget_Variance_Analysis!$D$3:$D$14</definedName>
    <definedName name="_xlchart.v1.7" hidden="1">Budget_Variance_Analysis!$E$3:$E$14</definedName>
    <definedName name="_xlchart.v1.8" hidden="1">Budget_Variance_Analysis!$D$2</definedName>
    <definedName name="_xlchart.v1.9" hidden="1">Budget_Variance_Analysis!$D$3:$D$14</definedName>
    <definedName name="ExternalData_1" localSheetId="4" hidden="1">Budget_Variance_Analysis!$A$2:$E$14</definedName>
    <definedName name="ExternalData_1" localSheetId="3" hidden="1">Data_Source_SQL_Export!$A$2:$D$74</definedName>
    <definedName name="ExternalData_1" localSheetId="6" hidden="1">MoM_Analysis!$A$2:$C$26</definedName>
    <definedName name="ExternalData_1" localSheetId="7" hidden="1">'Risk Analysis'!$A$2:$B$8</definedName>
    <definedName name="ExternalData_1" localSheetId="5" hidden="1">Trend_Data!$A$2:$C$26</definedName>
    <definedName name="ExternalData_2" localSheetId="3" hidden="1">Data_Source_SQL_Export!$F$2:$I$75</definedName>
    <definedName name="Slicer_month_date">#N/A</definedName>
  </definedNames>
  <calcPr calcId="191029"/>
  <pivotCaches>
    <pivotCache cacheId="6"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R9" i="7" l="1"/>
  <c r="M9" i="7"/>
  <c r="F3" i="15"/>
  <c r="F4" i="15"/>
  <c r="F5" i="15"/>
  <c r="F6" i="15"/>
  <c r="F7" i="15"/>
  <c r="F8" i="15"/>
  <c r="F9" i="15"/>
  <c r="F10" i="15"/>
  <c r="F11" i="15"/>
  <c r="F12" i="15"/>
  <c r="F13" i="15"/>
  <c r="F14" i="15"/>
  <c r="H9" i="7"/>
  <c r="C9"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280468-955A-E64A-84B2-BB033D123D41}" keepAlive="1" name="Query - budget_actual_updated" description="Connection to the 'budget_actual_updated' query in the workbook." type="5" refreshedVersion="0" background="1">
    <dbPr connection="Provider=Microsoft.Mashup.OleDb.1;Data Source=$Workbook$;Location=budget_actual_updated;Extended Properties=&quot;&quot;" command="SELECT * FROM [budget_actual_updated]"/>
  </connection>
  <connection id="2" xr16:uid="{39F74919-F000-5D4F-914A-FD7A5D90BC6D}" keepAlive="1" name="Query - budget_export_long" description="Connection to the 'budget_export_long' query in the workbook." type="5" refreshedVersion="8" background="1" saveData="1">
    <dbPr connection="Provider=Microsoft.Mashup.OleDb.1;Data Source=$Workbook$;Location=budget_export_long;Extended Properties=&quot;&quot;" command="SELECT * FROM [budget_export_long]"/>
  </connection>
  <connection id="3" xr16:uid="{AA85D198-8225-1243-95E1-033294D20D12}" keepAlive="1" name="Query - budget_export_long (2)" description="Connection to the 'budget_export_long (2)' query in the workbook." type="5" refreshedVersion="8" background="1" saveData="1">
    <dbPr connection="Provider=Microsoft.Mashup.OleDb.1;Data Source=$Workbook$;Location=&quot;budget_export_long (2)&quot;;Extended Properties=&quot;&quot;" command="SELECT * FROM [budget_export_long (2)]"/>
  </connection>
  <connection id="4" xr16:uid="{2ED76034-DE50-4344-927D-D0BA34B53293}" keepAlive="1" name="Query - budget_final" description="Connection to the 'budget_final' query in the workbook." type="5" refreshedVersion="0" background="1">
    <dbPr connection="Provider=Microsoft.Mashup.OleDb.1;Data Source=$Workbook$;Location=budget_final;Extended Properties=&quot;&quot;" command="SELECT * FROM [budget_final]"/>
  </connection>
  <connection id="5" xr16:uid="{4A548CF3-1E69-1B48-BE84-8191A26F5635}" keepAlive="1" name="Query - budget_mom_growth" description="Connection to the 'budget_mom_growth' query in the workbook." type="5" refreshedVersion="8" background="1" saveData="1">
    <dbPr connection="Provider=Microsoft.Mashup.OleDb.1;Data Source=$Workbook$;Location=budget_mom_growth;Extended Properties=&quot;&quot;" command="SELECT * FROM [budget_mom_growth]"/>
  </connection>
  <connection id="6" xr16:uid="{9DF5DAED-8A48-3446-A84C-65088C0C2760}" keepAlive="1" name="Query - budget_trend_with_rolling" description="Connection to the 'budget_trend_with_rolling' query in the workbook." type="5" refreshedVersion="8" background="1" saveData="1">
    <dbPr connection="Provider=Microsoft.Mashup.OleDb.1;Data Source=$Workbook$;Location=budget_trend_with_rolling;Extended Properties=&quot;&quot;" command="SELECT * FROM [budget_trend_with_rolling]"/>
  </connection>
  <connection id="7" xr16:uid="{75D14458-FBB6-2A4D-8853-E19DEF0EC64B}" keepAlive="1" name="Query - budget_vs_actual" description="Connection to the 'budget_vs_actual' query in the workbook." type="5" refreshedVersion="8" background="1" saveData="1">
    <dbPr connection="Provider=Microsoft.Mashup.OleDb.1;Data Source=$Workbook$;Location=budget_vs_actual;Extended Properties=&quot;&quot;" command="SELECT * FROM [budget_vs_actual]"/>
  </connection>
  <connection id="8" xr16:uid="{27A4A2D4-9DED-8840-91F5-2E725990DBEB}" keepAlive="1" name="Query - department_volatility" description="Connection to the 'department_volatility' query in the workbook." type="5" refreshedVersion="8" background="1" saveData="1">
    <dbPr connection="Provider=Microsoft.Mashup.OleDb.1;Data Source=$Workbook$;Location=department_volatility;Extended Properties=&quot;&quot;" command="SELECT * FROM [department_volatility]"/>
  </connection>
</connections>
</file>

<file path=xl/sharedStrings.xml><?xml version="1.0" encoding="utf-8"?>
<sst xmlns="http://schemas.openxmlformats.org/spreadsheetml/2006/main" count="389" uniqueCount="85">
  <si>
    <t>month_date</t>
  </si>
  <si>
    <t>department</t>
  </si>
  <si>
    <t>Engineering</t>
  </si>
  <si>
    <t>Development Costs</t>
  </si>
  <si>
    <t>Facilities</t>
  </si>
  <si>
    <t>Maintenance Cost</t>
  </si>
  <si>
    <t>G&amp;A</t>
  </si>
  <si>
    <t>Travelling Cost</t>
  </si>
  <si>
    <t>HR</t>
  </si>
  <si>
    <t>Training Cost</t>
  </si>
  <si>
    <t>Marketing</t>
  </si>
  <si>
    <t>Marketing Costs</t>
  </si>
  <si>
    <t>Operations</t>
  </si>
  <si>
    <t>Operational Costs</t>
  </si>
  <si>
    <t>Row Labels</t>
  </si>
  <si>
    <t>(blank)</t>
  </si>
  <si>
    <t>Grand Total</t>
  </si>
  <si>
    <t>1-Jan</t>
  </si>
  <si>
    <t>1-Feb</t>
  </si>
  <si>
    <t>1-Mar</t>
  </si>
  <si>
    <t>1-Apr</t>
  </si>
  <si>
    <t>1-May</t>
  </si>
  <si>
    <t>1-Jun</t>
  </si>
  <si>
    <t>1-Jul</t>
  </si>
  <si>
    <t>1-Aug</t>
  </si>
  <si>
    <t>1-Sep</t>
  </si>
  <si>
    <t>1-Oct</t>
  </si>
  <si>
    <t>1-Nov</t>
  </si>
  <si>
    <t>1-Dec</t>
  </si>
  <si>
    <t>Column Labels</t>
  </si>
  <si>
    <t>Sum of amount</t>
  </si>
  <si>
    <t>2023 Operating Budget Dashboard</t>
  </si>
  <si>
    <t>Largest Department Share of Spend</t>
  </si>
  <si>
    <t>Monthly Operating Spend by Department</t>
  </si>
  <si>
    <t>Department Share of Total Spend</t>
  </si>
  <si>
    <t>Total FY2023 Operating Spend</t>
  </si>
  <si>
    <t>Peak Monthly Spend (2023)</t>
  </si>
  <si>
    <t xml:space="preserve">Source: PostgreSQL Financial Dataset | Prepared by Garrett Nelson  </t>
  </si>
  <si>
    <t>Data excracted from https://www.kaggle.com/datasets/saharsyed/financial-dataset-expenses-budget-vs-actual?resource=download</t>
  </si>
  <si>
    <t>Total Spend</t>
  </si>
  <si>
    <t>3-Month Rolling Average</t>
  </si>
  <si>
    <t>Month, 2023</t>
  </si>
  <si>
    <t>Month</t>
  </si>
  <si>
    <t>MoM Percent Change</t>
  </si>
  <si>
    <t>spend_volatility</t>
  </si>
  <si>
    <t xml:space="preserve"> Key KPI's</t>
  </si>
  <si>
    <t>Average Monthly Spend Rate</t>
  </si>
  <si>
    <t>Monthly Operating Spend Trends</t>
  </si>
  <si>
    <t>Budget Amount</t>
  </si>
  <si>
    <t>Actual Amount</t>
  </si>
  <si>
    <t>Month Date</t>
  </si>
  <si>
    <t>Department</t>
  </si>
  <si>
    <t>Category Name</t>
  </si>
  <si>
    <t>budget_spend</t>
  </si>
  <si>
    <t>actual_spend</t>
  </si>
  <si>
    <t>variance_percent</t>
  </si>
  <si>
    <t>Variance ($)</t>
  </si>
  <si>
    <t>Variance (%)</t>
  </si>
  <si>
    <t>Annual Operating Spend Trends</t>
  </si>
  <si>
    <t>Key Takeaways</t>
  </si>
  <si>
    <r>
      <t>• Monthly spend increases in the </t>
    </r>
    <r>
      <rPr>
        <b/>
        <sz val="20"/>
        <color rgb="FF000000"/>
        <rFont val="TimesNewRomanPSMT"/>
        <family val="2"/>
      </rPr>
      <t>second half of the year</t>
    </r>
    <r>
      <rPr>
        <sz val="20"/>
        <color rgb="FF000000"/>
        <rFont val="TimesNewRomanPSMT"/>
        <family val="2"/>
      </rPr>
      <t>, with peaks in </t>
    </r>
    <r>
      <rPr>
        <b/>
        <sz val="20"/>
        <color rgb="FF000000"/>
        <rFont val="TimesNewRomanPSMT"/>
        <family val="2"/>
      </rPr>
      <t>August–December</t>
    </r>
  </si>
  <si>
    <r>
      <t>• A noticeable dip occurs around </t>
    </r>
    <r>
      <rPr>
        <b/>
        <sz val="20"/>
        <color rgb="FF000000"/>
        <rFont val="TimesNewRomanPSMT"/>
        <family val="2"/>
      </rPr>
      <t>July</t>
    </r>
    <r>
      <rPr>
        <sz val="20"/>
        <color rgb="FF000000"/>
        <rFont val="TimesNewRomanPSMT"/>
        <family val="2"/>
      </rPr>
      <t>, followed by a strong recovery</t>
    </r>
  </si>
  <si>
    <r>
      <t>• The </t>
    </r>
    <r>
      <rPr>
        <b/>
        <sz val="20"/>
        <color rgb="FF000000"/>
        <rFont val="TimesNewRomanPSMT"/>
        <family val="2"/>
      </rPr>
      <t>3-month rolling average confirms a steady upward trajectory</t>
    </r>
    <r>
      <rPr>
        <sz val="20"/>
        <color rgb="FF000000"/>
        <rFont val="TimesNewRomanPSMT"/>
        <family val="2"/>
      </rPr>
      <t>, smoothing short-term volatility</t>
    </r>
  </si>
  <si>
    <t>Breakdown of Budget v. Actual Variance + Overall Comments/Observations</t>
  </si>
  <si>
    <r>
      <t xml:space="preserve">• </t>
    </r>
    <r>
      <rPr>
        <b/>
        <sz val="20"/>
        <color rgb="FF000000"/>
        <rFont val="TimesNewRomanPSMT"/>
      </rPr>
      <t>Engineering</t>
    </r>
    <r>
      <rPr>
        <sz val="20"/>
        <color rgb="FF000000"/>
        <rFont val="TimesNewRomanPSMT"/>
        <family val="2"/>
      </rPr>
      <t xml:space="preserve"> and </t>
    </r>
    <r>
      <rPr>
        <b/>
        <sz val="20"/>
        <color rgb="FF000000"/>
        <rFont val="TimesNewRomanPSMT"/>
      </rPr>
      <t>Marketing</t>
    </r>
    <r>
      <rPr>
        <sz val="20"/>
        <color rgb="FF000000"/>
        <rFont val="TimesNewRomanPSMT"/>
        <family val="2"/>
      </rPr>
      <t xml:space="preserve"> exhibit the highest volatility, suggesting inconsistent monthly spending patterns</t>
    </r>
  </si>
  <si>
    <r>
      <t xml:space="preserve">• High volatility combined with high spend concentration introduces </t>
    </r>
    <r>
      <rPr>
        <b/>
        <sz val="20"/>
        <color rgb="FF000000"/>
        <rFont val="TimesNewRomanPSMT"/>
      </rPr>
      <t>forecasting</t>
    </r>
    <r>
      <rPr>
        <sz val="20"/>
        <color rgb="FF000000"/>
        <rFont val="TimesNewRomanPSMT"/>
        <family val="2"/>
      </rPr>
      <t xml:space="preserve"> and </t>
    </r>
    <r>
      <rPr>
        <b/>
        <sz val="20"/>
        <color rgb="FF000000"/>
        <rFont val="TimesNewRomanPSMT"/>
      </rPr>
      <t>cost control</t>
    </r>
    <r>
      <rPr>
        <sz val="20"/>
        <color rgb="FF000000"/>
        <rFont val="TimesNewRomanPSMT"/>
        <family val="2"/>
      </rPr>
      <t xml:space="preserve"> risk</t>
    </r>
  </si>
  <si>
    <r>
      <t xml:space="preserve">• The company may benefit from </t>
    </r>
    <r>
      <rPr>
        <b/>
        <sz val="20"/>
        <color rgb="FF000000"/>
        <rFont val="TimesNewRomanPSMT"/>
      </rPr>
      <t>tighter budgeting controls</t>
    </r>
    <r>
      <rPr>
        <sz val="20"/>
        <color rgb="FF000000"/>
        <rFont val="TimesNewRomanPSMT"/>
      </rPr>
      <t xml:space="preserve"> and </t>
    </r>
    <r>
      <rPr>
        <b/>
        <sz val="20"/>
        <color rgb="FF000000"/>
        <rFont val="TimesNewRomanPSMT"/>
      </rPr>
      <t>improved cost forecasting</t>
    </r>
    <r>
      <rPr>
        <sz val="20"/>
        <color rgb="FF000000"/>
        <rFont val="TimesNewRomanPSMT"/>
      </rPr>
      <t xml:space="preserve"> in key departments</t>
    </r>
  </si>
  <si>
    <r>
      <t>• Several months show </t>
    </r>
    <r>
      <rPr>
        <b/>
        <sz val="20"/>
        <color theme="1"/>
        <rFont val="TimesNewRomanPSMT"/>
      </rPr>
      <t>negative</t>
    </r>
    <r>
      <rPr>
        <sz val="20"/>
        <color theme="1"/>
        <rFont val="TimesNewRomanPSMT"/>
        <family val="2"/>
      </rPr>
      <t xml:space="preserve"> variance, particularly </t>
    </r>
    <r>
      <rPr>
        <b/>
        <sz val="20"/>
        <color theme="1"/>
        <rFont val="TimesNewRomanPSMT"/>
      </rPr>
      <t>April</t>
    </r>
    <r>
      <rPr>
        <sz val="20"/>
        <color theme="1"/>
        <rFont val="TimesNewRomanPSMT"/>
        <family val="2"/>
      </rPr>
      <t xml:space="preserve"> and </t>
    </r>
    <r>
      <rPr>
        <b/>
        <sz val="20"/>
        <color theme="1"/>
        <rFont val="TimesNewRomanPSMT"/>
      </rPr>
      <t>July</t>
    </r>
    <r>
      <rPr>
        <sz val="20"/>
        <color theme="1"/>
        <rFont val="TimesNewRomanPSMT"/>
        <family val="2"/>
      </rPr>
      <t>, indicating overspending vs. budget</t>
    </r>
  </si>
  <si>
    <r>
      <t>• Positive variance in months like </t>
    </r>
    <r>
      <rPr>
        <b/>
        <sz val="20"/>
        <color theme="1"/>
        <rFont val="TimesNewRomanPSMT"/>
      </rPr>
      <t>January</t>
    </r>
    <r>
      <rPr>
        <sz val="20"/>
        <color theme="1"/>
        <rFont val="TimesNewRomanPSMT"/>
      </rPr>
      <t xml:space="preserve"> and </t>
    </r>
    <r>
      <rPr>
        <b/>
        <sz val="20"/>
        <color theme="1"/>
        <rFont val="TimesNewRomanPSMT"/>
      </rPr>
      <t>September </t>
    </r>
    <r>
      <rPr>
        <sz val="20"/>
        <color theme="1"/>
        <rFont val="TimesNewRomanPSMT"/>
      </rPr>
      <t>suggests periods of cost efficiency</t>
    </r>
  </si>
  <si>
    <r>
      <t>• Variance fluctuations indicate </t>
    </r>
    <r>
      <rPr>
        <b/>
        <sz val="20"/>
        <color theme="1"/>
        <rFont val="TimesNewRomanPSMT"/>
      </rPr>
      <t>inconsistent budget alignment across the year</t>
    </r>
  </si>
  <si>
    <t>• Total spending shows a clear upward trajectory across 2023, indicating growth in operational activity</t>
  </si>
  <si>
    <t>• Costs are highly concentrated in Engineering, creating dependency on a single primary cost driver</t>
  </si>
  <si>
    <t>• Volatility across key departments suggests inconsistent spending patterns and potential forecasting gaps</t>
  </si>
  <si>
    <t>• Frequent variance from budget highlights opportunities to improve budget accuracy and cost control</t>
  </si>
  <si>
    <t>• Despite short-term fluctuations, the business demonstrates stable overall growth in spending levels</t>
  </si>
  <si>
    <t>Summary Observations</t>
  </si>
  <si>
    <t>Recommendations</t>
  </si>
  <si>
    <t>• Implement Tighter Cost Controls in Engineering by introducing monthly budget checkpoints and variance monitoring</t>
  </si>
  <si>
    <t>• Standardize budgeting and forecasting processes through a rolling forecast model (monthly or quarterly updates)</t>
  </si>
  <si>
    <t>• Reduce spend volatility in Marketing &amp; Operations by shifting toward more planned, campaign-based spending schedules and creating variance tolerance bands</t>
  </si>
  <si>
    <t>Budget v. Actual Data Source</t>
  </si>
  <si>
    <t>Budget Variance Analysis</t>
  </si>
  <si>
    <t>Monthly Trend Data</t>
  </si>
  <si>
    <t>Month-Over-Month Budget Analysis</t>
  </si>
  <si>
    <t>Department Volatility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</si>
</sst>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0.0%"/>
    <numFmt numFmtId="169" formatCode="mmmm"/>
    <numFmt numFmtId="171" formatCode="mmm"/>
    <numFmt numFmtId="173" formatCode="0.0"/>
  </numFmts>
  <fonts count="25">
    <font>
      <sz val="12"/>
      <color theme="1"/>
      <name val="TimesNewRomanPSMT"/>
      <family val="2"/>
    </font>
    <font>
      <sz val="12"/>
      <color theme="1"/>
      <name val="TimesNewRomanPSMT"/>
      <family val="2"/>
    </font>
    <font>
      <b/>
      <sz val="20"/>
      <color theme="1"/>
      <name val="TimesNewRomanPSMT"/>
    </font>
    <font>
      <sz val="22"/>
      <color theme="1"/>
      <name val="TimesNewRomanPSMT"/>
      <family val="2"/>
    </font>
    <font>
      <sz val="18"/>
      <color theme="1"/>
      <name val="TimesNewRomanPSMT"/>
      <family val="2"/>
    </font>
    <font>
      <sz val="22"/>
      <color theme="1"/>
      <name val="TimesNewRomanPSMT"/>
    </font>
    <font>
      <sz val="8"/>
      <name val="TimesNewRomanPSMT"/>
      <family val="2"/>
    </font>
    <font>
      <sz val="26"/>
      <color theme="1"/>
      <name val="TimesNewRomanPSMT"/>
    </font>
    <font>
      <sz val="26"/>
      <color theme="1"/>
      <name val="TimesNewRomanPSMT"/>
      <family val="2"/>
    </font>
    <font>
      <u/>
      <sz val="12"/>
      <color theme="10"/>
      <name val="TimesNewRomanPSMT"/>
      <family val="2"/>
    </font>
    <font>
      <b/>
      <sz val="24"/>
      <color theme="1"/>
      <name val="TimesNewRomanPSMT"/>
    </font>
    <font>
      <sz val="24"/>
      <color theme="1"/>
      <name val="TimesNewRomanPSMT"/>
    </font>
    <font>
      <u/>
      <sz val="18"/>
      <color theme="10"/>
      <name val="TimesNewRomanPSMT"/>
      <family val="2"/>
    </font>
    <font>
      <b/>
      <sz val="22"/>
      <color theme="2" tint="-0.749992370372631"/>
      <name val="TimesNewRomanPSMT"/>
    </font>
    <font>
      <i/>
      <u/>
      <sz val="18"/>
      <color theme="10"/>
      <name val="TimesNewRomanPSMT"/>
    </font>
    <font>
      <sz val="12"/>
      <color rgb="FF000000"/>
      <name val="TimesNewRomanPSMT"/>
      <family val="2"/>
    </font>
    <font>
      <b/>
      <sz val="20"/>
      <color rgb="FF000000"/>
      <name val="TimesNewRomanPSMT"/>
      <family val="2"/>
    </font>
    <font>
      <b/>
      <sz val="22"/>
      <color rgb="FF000000"/>
      <name val="TimesNewRomanPSMT"/>
      <family val="2"/>
    </font>
    <font>
      <sz val="20"/>
      <color theme="1"/>
      <name val="TimesNewRomanPSMT"/>
      <family val="2"/>
    </font>
    <font>
      <sz val="20"/>
      <color rgb="FF000000"/>
      <name val="TimesNewRomanPSMT"/>
      <family val="2"/>
    </font>
    <font>
      <sz val="20"/>
      <color rgb="FF000000"/>
      <name val="TimesNewRomanPSMT"/>
    </font>
    <font>
      <b/>
      <sz val="20"/>
      <color rgb="FF000000"/>
      <name val="TimesNewRomanPSMT"/>
    </font>
    <font>
      <sz val="20"/>
      <color theme="1"/>
      <name val="TimesNewRomanPSMT"/>
    </font>
    <font>
      <sz val="16"/>
      <color theme="2" tint="-0.749992370372631"/>
      <name val="TimesNewRomanPSMT"/>
    </font>
    <font>
      <b/>
      <sz val="22"/>
      <color theme="1"/>
      <name val="TimesNewRomanPSMT"/>
    </font>
  </fonts>
  <fills count="5">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
      <patternFill patternType="solid">
        <fgColor theme="0" tint="-0.149998474074526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0" fontId="9" fillId="0" borderId="0" applyNumberFormat="0" applyFill="0" applyBorder="0" applyAlignment="0" applyProtection="0"/>
  </cellStyleXfs>
  <cellXfs count="122">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1" applyFont="1"/>
    <xf numFmtId="164" fontId="0" fillId="0" borderId="0" xfId="1" applyNumberFormat="1" applyFont="1"/>
    <xf numFmtId="164" fontId="0" fillId="0" borderId="0" xfId="0" applyNumberFormat="1"/>
    <xf numFmtId="164" fontId="0" fillId="0" borderId="0" xfId="0" pivotButton="1" applyNumberFormat="1"/>
    <xf numFmtId="164" fontId="0" fillId="0" borderId="0" xfId="0" applyNumberFormat="1" applyAlignment="1">
      <alignment horizontal="left"/>
    </xf>
    <xf numFmtId="164" fontId="2" fillId="2" borderId="0" xfId="1" applyNumberFormat="1" applyFont="1" applyFill="1"/>
    <xf numFmtId="164" fontId="0" fillId="2" borderId="0" xfId="1" applyNumberFormat="1" applyFont="1" applyFill="1"/>
    <xf numFmtId="0" fontId="2" fillId="2" borderId="0" xfId="0" applyFont="1" applyFill="1"/>
    <xf numFmtId="0" fontId="0" fillId="2" borderId="0" xfId="0" applyFill="1"/>
    <xf numFmtId="165" fontId="4" fillId="0" borderId="0" xfId="0" applyNumberFormat="1" applyFont="1"/>
    <xf numFmtId="164" fontId="4" fillId="0" borderId="0" xfId="0" applyNumberFormat="1" applyFont="1" applyAlignment="1">
      <alignment horizontal="left"/>
    </xf>
    <xf numFmtId="164" fontId="4" fillId="0" borderId="0" xfId="0" applyNumberFormat="1" applyFont="1"/>
    <xf numFmtId="44" fontId="5" fillId="3" borderId="4" xfId="1" applyFont="1" applyFill="1" applyBorder="1" applyAlignment="1">
      <alignment vertical="center"/>
    </xf>
    <xf numFmtId="44" fontId="5" fillId="3" borderId="0" xfId="1" applyFont="1" applyFill="1" applyBorder="1" applyAlignment="1">
      <alignment vertical="center" wrapText="1"/>
    </xf>
    <xf numFmtId="44" fontId="5" fillId="3" borderId="5" xfId="1" applyFont="1" applyFill="1" applyBorder="1" applyAlignment="1">
      <alignment vertical="center" wrapText="1"/>
    </xf>
    <xf numFmtId="44" fontId="3" fillId="3" borderId="4" xfId="1" applyFont="1" applyFill="1" applyBorder="1" applyAlignment="1">
      <alignment vertical="center" wrapText="1"/>
    </xf>
    <xf numFmtId="44" fontId="3" fillId="3" borderId="0" xfId="1" applyFont="1" applyFill="1" applyBorder="1" applyAlignment="1">
      <alignment vertical="center" wrapText="1"/>
    </xf>
    <xf numFmtId="44" fontId="3" fillId="3" borderId="5" xfId="1" applyFont="1" applyFill="1" applyBorder="1" applyAlignment="1">
      <alignment vertical="center" wrapText="1"/>
    </xf>
    <xf numFmtId="0" fontId="5" fillId="3" borderId="4" xfId="0" applyFont="1" applyFill="1" applyBorder="1" applyAlignment="1">
      <alignment vertical="center" wrapText="1"/>
    </xf>
    <xf numFmtId="44" fontId="3" fillId="0" borderId="0" xfId="1" applyFont="1" applyFill="1" applyBorder="1" applyAlignment="1">
      <alignment vertical="center" wrapText="1"/>
    </xf>
    <xf numFmtId="0" fontId="3" fillId="0" borderId="0" xfId="0" applyFont="1" applyAlignment="1">
      <alignment vertical="center" wrapText="1"/>
    </xf>
    <xf numFmtId="0" fontId="3" fillId="3" borderId="4" xfId="0" applyFont="1" applyFill="1" applyBorder="1" applyAlignment="1">
      <alignment wrapText="1"/>
    </xf>
    <xf numFmtId="0" fontId="0" fillId="3" borderId="5" xfId="0" applyFill="1" applyBorder="1"/>
    <xf numFmtId="165" fontId="3" fillId="3" borderId="6" xfId="0" applyNumberFormat="1" applyFont="1" applyFill="1" applyBorder="1" applyAlignment="1">
      <alignment horizontal="center" wrapText="1"/>
    </xf>
    <xf numFmtId="165" fontId="3" fillId="3" borderId="7" xfId="0" applyNumberFormat="1" applyFont="1" applyFill="1" applyBorder="1" applyAlignment="1">
      <alignment horizontal="center" wrapText="1"/>
    </xf>
    <xf numFmtId="165" fontId="3" fillId="3" borderId="8" xfId="0" applyNumberFormat="1" applyFont="1" applyFill="1" applyBorder="1" applyAlignment="1">
      <alignment horizontal="center" wrapText="1"/>
    </xf>
    <xf numFmtId="10" fontId="0" fillId="0" borderId="0" xfId="0" applyNumberFormat="1"/>
    <xf numFmtId="169" fontId="0" fillId="0" borderId="0" xfId="0" applyNumberFormat="1"/>
    <xf numFmtId="0" fontId="4" fillId="0" borderId="0" xfId="0" applyFont="1"/>
    <xf numFmtId="0" fontId="12" fillId="0" borderId="0" xfId="2" applyFont="1" applyAlignment="1">
      <alignment wrapText="1"/>
    </xf>
    <xf numFmtId="0" fontId="12" fillId="0" borderId="0" xfId="2" applyFont="1" applyAlignment="1"/>
    <xf numFmtId="171" fontId="0" fillId="0" borderId="0" xfId="0" applyNumberFormat="1"/>
    <xf numFmtId="0" fontId="0" fillId="0" borderId="0" xfId="0" applyNumberFormat="1"/>
    <xf numFmtId="173" fontId="0" fillId="0" borderId="0" xfId="0" applyNumberFormat="1"/>
    <xf numFmtId="0" fontId="12" fillId="0" borderId="0" xfId="2" applyFont="1" applyAlignment="1">
      <alignment horizontal="left" vertical="center"/>
    </xf>
    <xf numFmtId="0" fontId="5" fillId="3" borderId="0" xfId="0" applyFont="1" applyFill="1" applyBorder="1" applyAlignment="1">
      <alignment vertical="center" wrapText="1"/>
    </xf>
    <xf numFmtId="0" fontId="3" fillId="3" borderId="0" xfId="0" applyFont="1" applyFill="1" applyBorder="1" applyAlignment="1">
      <alignment wrapText="1"/>
    </xf>
    <xf numFmtId="0" fontId="14" fillId="0" borderId="0" xfId="2" applyFont="1" applyAlignment="1">
      <alignment horizontal="left" vertical="center"/>
    </xf>
    <xf numFmtId="44" fontId="8" fillId="3" borderId="6" xfId="1" applyFont="1" applyFill="1" applyBorder="1" applyAlignment="1">
      <alignment horizontal="left" vertical="center" wrapText="1"/>
    </xf>
    <xf numFmtId="44" fontId="8" fillId="3" borderId="7" xfId="1" applyFont="1" applyFill="1" applyBorder="1" applyAlignment="1">
      <alignment horizontal="left" vertical="center" wrapText="1"/>
    </xf>
    <xf numFmtId="44" fontId="8" fillId="3" borderId="8" xfId="1" applyFont="1" applyFill="1" applyBorder="1" applyAlignment="1">
      <alignment horizontal="left" vertical="center" wrapText="1"/>
    </xf>
    <xf numFmtId="44" fontId="7" fillId="3" borderId="6" xfId="1" applyFont="1" applyFill="1" applyBorder="1" applyAlignment="1">
      <alignment horizontal="left" vertical="center" wrapText="1"/>
    </xf>
    <xf numFmtId="44" fontId="7" fillId="3" borderId="7" xfId="1" applyFont="1" applyFill="1" applyBorder="1" applyAlignment="1">
      <alignment horizontal="left" vertical="center" wrapText="1"/>
    </xf>
    <xf numFmtId="44" fontId="7" fillId="3" borderId="8" xfId="1" applyFont="1" applyFill="1" applyBorder="1" applyAlignment="1">
      <alignment horizontal="left" vertical="center" wrapText="1"/>
    </xf>
    <xf numFmtId="44" fontId="7" fillId="3" borderId="6" xfId="1" applyFont="1" applyFill="1" applyBorder="1" applyAlignment="1">
      <alignment horizontal="left" vertical="center"/>
    </xf>
    <xf numFmtId="44" fontId="7" fillId="3" borderId="7" xfId="1" applyFont="1" applyFill="1" applyBorder="1" applyAlignment="1">
      <alignment horizontal="left" vertical="center"/>
    </xf>
    <xf numFmtId="44" fontId="7" fillId="3" borderId="8" xfId="1" applyFont="1" applyFill="1" applyBorder="1" applyAlignment="1">
      <alignment horizontal="left" vertical="center"/>
    </xf>
    <xf numFmtId="0" fontId="0" fillId="0" borderId="0" xfId="0" applyAlignment="1">
      <alignment horizontal="center" vertical="center"/>
    </xf>
    <xf numFmtId="0" fontId="15" fillId="0" borderId="0" xfId="0" applyFont="1"/>
    <xf numFmtId="44" fontId="23" fillId="3" borderId="1" xfId="1" applyFont="1" applyFill="1" applyBorder="1" applyAlignment="1">
      <alignment horizontal="center" vertical="center"/>
    </xf>
    <xf numFmtId="44" fontId="23" fillId="3" borderId="2" xfId="1" applyFont="1" applyFill="1" applyBorder="1" applyAlignment="1">
      <alignment horizontal="center" vertical="center"/>
    </xf>
    <xf numFmtId="44" fontId="23" fillId="3" borderId="3" xfId="1" applyFont="1" applyFill="1" applyBorder="1" applyAlignment="1">
      <alignment horizontal="center" vertical="center"/>
    </xf>
    <xf numFmtId="0" fontId="23" fillId="3" borderId="1" xfId="0" applyFont="1" applyFill="1" applyBorder="1" applyAlignment="1">
      <alignment horizontal="center" vertical="center" wrapText="1"/>
    </xf>
    <xf numFmtId="0" fontId="23" fillId="3" borderId="2" xfId="0" applyFont="1" applyFill="1" applyBorder="1" applyAlignment="1">
      <alignment horizontal="center" vertical="center" wrapText="1"/>
    </xf>
    <xf numFmtId="0" fontId="23" fillId="3" borderId="3" xfId="0" applyFont="1" applyFill="1" applyBorder="1" applyAlignment="1">
      <alignment horizontal="center" vertical="center" wrapText="1"/>
    </xf>
    <xf numFmtId="44" fontId="23" fillId="3" borderId="1" xfId="1" applyFont="1" applyFill="1" applyBorder="1" applyAlignment="1">
      <alignment horizontal="center" vertical="center" wrapText="1"/>
    </xf>
    <xf numFmtId="44" fontId="23" fillId="3" borderId="2" xfId="1" applyFont="1" applyFill="1" applyBorder="1" applyAlignment="1">
      <alignment horizontal="center" vertical="center" wrapText="1"/>
    </xf>
    <xf numFmtId="44" fontId="23" fillId="3" borderId="3" xfId="1" applyFont="1" applyFill="1" applyBorder="1" applyAlignment="1">
      <alignment horizontal="center" vertical="center" wrapText="1"/>
    </xf>
    <xf numFmtId="0" fontId="23" fillId="3" borderId="1" xfId="0" applyFont="1" applyFill="1" applyBorder="1" applyAlignment="1">
      <alignment horizontal="center" vertical="center"/>
    </xf>
    <xf numFmtId="0" fontId="23" fillId="3" borderId="2" xfId="0" applyFont="1" applyFill="1" applyBorder="1" applyAlignment="1">
      <alignment horizontal="center" vertical="center"/>
    </xf>
    <xf numFmtId="0" fontId="23" fillId="3" borderId="3" xfId="0" applyFont="1" applyFill="1" applyBorder="1" applyAlignment="1">
      <alignment horizontal="center" vertical="center"/>
    </xf>
    <xf numFmtId="164" fontId="0" fillId="4" borderId="0" xfId="1" applyNumberFormat="1" applyFont="1" applyFill="1"/>
    <xf numFmtId="0" fontId="2" fillId="4" borderId="0" xfId="0" applyFont="1" applyFill="1"/>
    <xf numFmtId="171" fontId="2" fillId="4" borderId="0" xfId="0" applyNumberFormat="1" applyFont="1" applyFill="1"/>
    <xf numFmtId="10" fontId="2" fillId="4" borderId="0" xfId="0" applyNumberFormat="1" applyFont="1" applyFill="1"/>
    <xf numFmtId="169" fontId="2" fillId="4" borderId="0" xfId="0" applyNumberFormat="1" applyFont="1" applyFill="1"/>
    <xf numFmtId="44" fontId="2" fillId="4" borderId="0" xfId="1" applyFont="1" applyFill="1"/>
    <xf numFmtId="0" fontId="10" fillId="4" borderId="0" xfId="0" applyFont="1" applyFill="1"/>
    <xf numFmtId="44" fontId="11" fillId="4" borderId="0" xfId="1" applyFont="1" applyFill="1"/>
    <xf numFmtId="0" fontId="11" fillId="4" borderId="0" xfId="0" applyFont="1" applyFill="1"/>
    <xf numFmtId="0" fontId="13" fillId="4" borderId="1" xfId="2" applyFont="1" applyFill="1" applyBorder="1" applyAlignment="1">
      <alignment horizontal="center" vertical="center"/>
    </xf>
    <xf numFmtId="0" fontId="13" fillId="4" borderId="2" xfId="2" applyFont="1" applyFill="1" applyBorder="1" applyAlignment="1">
      <alignment horizontal="center" vertical="center"/>
    </xf>
    <xf numFmtId="0" fontId="13" fillId="4" borderId="3" xfId="2" applyFont="1" applyFill="1" applyBorder="1" applyAlignment="1">
      <alignment horizontal="center" vertical="center"/>
    </xf>
    <xf numFmtId="0" fontId="13" fillId="4" borderId="4" xfId="2" applyFont="1" applyFill="1" applyBorder="1" applyAlignment="1">
      <alignment horizontal="center" vertical="center"/>
    </xf>
    <xf numFmtId="0" fontId="13" fillId="4" borderId="0" xfId="2" applyFont="1" applyFill="1" applyBorder="1" applyAlignment="1">
      <alignment horizontal="center" vertical="center"/>
    </xf>
    <xf numFmtId="0" fontId="13" fillId="4" borderId="5" xfId="2" applyFont="1" applyFill="1" applyBorder="1" applyAlignment="1">
      <alignment horizontal="center" vertical="center"/>
    </xf>
    <xf numFmtId="44" fontId="13" fillId="4" borderId="1" xfId="1" applyFont="1" applyFill="1" applyBorder="1" applyAlignment="1">
      <alignment horizontal="center" vertical="center" wrapText="1"/>
    </xf>
    <xf numFmtId="44" fontId="13" fillId="4" borderId="2" xfId="1" applyFont="1" applyFill="1" applyBorder="1" applyAlignment="1">
      <alignment horizontal="center" vertical="center" wrapText="1"/>
    </xf>
    <xf numFmtId="44" fontId="13" fillId="4" borderId="3" xfId="1" applyFont="1" applyFill="1" applyBorder="1" applyAlignment="1">
      <alignment horizontal="center" vertical="center" wrapText="1"/>
    </xf>
    <xf numFmtId="44" fontId="13" fillId="4" borderId="4" xfId="1" applyFont="1" applyFill="1" applyBorder="1" applyAlignment="1">
      <alignment horizontal="center" vertical="center" wrapText="1"/>
    </xf>
    <xf numFmtId="44" fontId="13" fillId="4" borderId="0" xfId="1" applyFont="1" applyFill="1" applyBorder="1" applyAlignment="1">
      <alignment horizontal="center" vertical="center" wrapText="1"/>
    </xf>
    <xf numFmtId="44" fontId="13" fillId="4" borderId="5" xfId="1" applyFont="1" applyFill="1" applyBorder="1" applyAlignment="1">
      <alignment horizontal="center" vertical="center" wrapText="1"/>
    </xf>
    <xf numFmtId="0" fontId="0" fillId="4" borderId="4" xfId="0" applyFill="1" applyBorder="1"/>
    <xf numFmtId="44" fontId="5" fillId="4" borderId="0" xfId="1" applyFont="1" applyFill="1" applyBorder="1" applyAlignment="1">
      <alignment vertical="center"/>
    </xf>
    <xf numFmtId="44" fontId="5" fillId="4" borderId="0" xfId="1" applyFont="1" applyFill="1" applyBorder="1" applyAlignment="1">
      <alignment vertical="center" wrapText="1"/>
    </xf>
    <xf numFmtId="0" fontId="0" fillId="4" borderId="0" xfId="0" applyFill="1" applyBorder="1"/>
    <xf numFmtId="0" fontId="5" fillId="4" borderId="0" xfId="0" applyFont="1" applyFill="1" applyBorder="1" applyAlignment="1">
      <alignment vertical="center" wrapText="1"/>
    </xf>
    <xf numFmtId="0" fontId="0" fillId="4" borderId="5" xfId="0" applyFill="1" applyBorder="1"/>
    <xf numFmtId="0" fontId="0" fillId="4" borderId="6" xfId="0" applyFill="1" applyBorder="1"/>
    <xf numFmtId="44" fontId="5" fillId="4" borderId="7" xfId="1" applyFont="1" applyFill="1" applyBorder="1" applyAlignment="1">
      <alignment vertical="center" wrapText="1"/>
    </xf>
    <xf numFmtId="0" fontId="0" fillId="4" borderId="7" xfId="0" applyFill="1" applyBorder="1"/>
    <xf numFmtId="0" fontId="5" fillId="4" borderId="7" xfId="0" applyFont="1" applyFill="1" applyBorder="1" applyAlignment="1">
      <alignment vertical="center" wrapText="1"/>
    </xf>
    <xf numFmtId="0" fontId="0" fillId="4" borderId="8" xfId="0" applyFill="1" applyBorder="1"/>
    <xf numFmtId="0" fontId="0" fillId="4" borderId="4" xfId="0" applyFill="1" applyBorder="1" applyAlignment="1">
      <alignment horizontal="center" vertical="center"/>
    </xf>
    <xf numFmtId="0" fontId="0" fillId="4" borderId="0" xfId="0" applyFill="1" applyBorder="1" applyAlignment="1">
      <alignment horizontal="center" vertical="center"/>
    </xf>
    <xf numFmtId="0" fontId="0" fillId="4" borderId="5" xfId="0" applyFill="1" applyBorder="1" applyAlignment="1">
      <alignment horizontal="center" vertical="center"/>
    </xf>
    <xf numFmtId="44" fontId="0" fillId="4" borderId="0" xfId="1" applyFont="1" applyFill="1" applyBorder="1"/>
    <xf numFmtId="44" fontId="4" fillId="4" borderId="0" xfId="1" applyFont="1" applyFill="1" applyBorder="1"/>
    <xf numFmtId="10" fontId="4" fillId="4" borderId="0" xfId="1" applyNumberFormat="1" applyFont="1" applyFill="1" applyBorder="1"/>
    <xf numFmtId="0" fontId="17" fillId="4" borderId="4" xfId="0" applyFont="1" applyFill="1" applyBorder="1" applyAlignment="1">
      <alignment horizontal="center"/>
    </xf>
    <xf numFmtId="0" fontId="17" fillId="4" borderId="0" xfId="0" applyFont="1" applyFill="1" applyBorder="1" applyAlignment="1">
      <alignment horizontal="center"/>
    </xf>
    <xf numFmtId="0" fontId="17" fillId="4" borderId="5" xfId="0" applyFont="1" applyFill="1" applyBorder="1" applyAlignment="1">
      <alignment horizontal="center"/>
    </xf>
    <xf numFmtId="0" fontId="18" fillId="4" borderId="4" xfId="0" applyFont="1" applyFill="1" applyBorder="1"/>
    <xf numFmtId="44" fontId="18" fillId="4" borderId="0" xfId="1" applyFont="1" applyFill="1" applyBorder="1"/>
    <xf numFmtId="0" fontId="18" fillId="4" borderId="0" xfId="0" applyFont="1" applyFill="1" applyBorder="1"/>
    <xf numFmtId="0" fontId="19" fillId="4" borderId="4" xfId="0" applyFont="1" applyFill="1" applyBorder="1" applyAlignment="1">
      <alignment horizontal="left" vertical="center"/>
    </xf>
    <xf numFmtId="0" fontId="19" fillId="4" borderId="4" xfId="0" applyFont="1" applyFill="1" applyBorder="1"/>
    <xf numFmtId="0" fontId="15" fillId="4" borderId="6" xfId="0" applyFont="1" applyFill="1" applyBorder="1"/>
    <xf numFmtId="44" fontId="0" fillId="4" borderId="7" xfId="1" applyFont="1" applyFill="1" applyBorder="1"/>
    <xf numFmtId="0" fontId="20" fillId="4" borderId="4" xfId="0" applyFont="1" applyFill="1" applyBorder="1"/>
    <xf numFmtId="0" fontId="18" fillId="4" borderId="0" xfId="0" applyFont="1" applyFill="1" applyBorder="1" applyAlignment="1">
      <alignment horizontal="left" vertical="center" wrapText="1"/>
    </xf>
    <xf numFmtId="0" fontId="18" fillId="4" borderId="5" xfId="0" applyFont="1" applyFill="1" applyBorder="1" applyAlignment="1">
      <alignment horizontal="left" vertical="center" wrapText="1"/>
    </xf>
    <xf numFmtId="0" fontId="22" fillId="4" borderId="0" xfId="0" applyFont="1" applyFill="1" applyBorder="1" applyAlignment="1">
      <alignment horizontal="left" vertical="center" wrapText="1"/>
    </xf>
    <xf numFmtId="0" fontId="22" fillId="4" borderId="5" xfId="0" applyFont="1" applyFill="1" applyBorder="1" applyAlignment="1">
      <alignment horizontal="left" vertical="center" wrapText="1"/>
    </xf>
    <xf numFmtId="0" fontId="24" fillId="4" borderId="0" xfId="0" applyFont="1" applyFill="1" applyBorder="1"/>
    <xf numFmtId="0" fontId="22" fillId="4" borderId="0" xfId="0" applyFont="1" applyFill="1" applyAlignment="1">
      <alignment horizontal="left" vertical="center" wrapText="1"/>
    </xf>
    <xf numFmtId="0" fontId="22" fillId="4" borderId="0" xfId="0" applyFont="1" applyFill="1" applyBorder="1" applyAlignment="1">
      <alignment horizontal="left" wrapText="1"/>
    </xf>
    <xf numFmtId="0" fontId="22" fillId="4" borderId="5" xfId="0" applyFont="1" applyFill="1" applyBorder="1" applyAlignment="1">
      <alignment horizontal="left" wrapText="1"/>
    </xf>
  </cellXfs>
  <cellStyles count="3">
    <cellStyle name="Currency" xfId="1" builtinId="4"/>
    <cellStyle name="Hyperlink" xfId="2" builtinId="8"/>
    <cellStyle name="Normal" xfId="0" builtinId="0"/>
  </cellStyles>
  <dxfs count="27">
    <dxf>
      <numFmt numFmtId="171" formatCode="mmm"/>
    </dxf>
    <dxf>
      <numFmt numFmtId="14" formatCode="0.00%"/>
    </dxf>
    <dxf>
      <numFmt numFmtId="0" formatCode="General"/>
    </dxf>
    <dxf>
      <numFmt numFmtId="0" formatCode="General"/>
    </dxf>
    <dxf>
      <numFmt numFmtId="19" formatCode="m/d/yy"/>
    </dxf>
    <dxf>
      <numFmt numFmtId="0" formatCode="General"/>
    </dxf>
    <dxf>
      <numFmt numFmtId="173" formatCode="0.0"/>
    </dxf>
    <dxf>
      <numFmt numFmtId="0" formatCode="General"/>
    </dxf>
    <dxf>
      <numFmt numFmtId="171" formatCode="mmm"/>
    </dxf>
    <dxf>
      <numFmt numFmtId="169" formatCode="mmmm"/>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sz val="18"/>
      </font>
    </dxf>
    <dxf>
      <numFmt numFmtId="0" formatCode="General"/>
    </dxf>
    <dxf>
      <numFmt numFmtId="0" formatCode="General"/>
    </dxf>
    <dxf>
      <numFmt numFmtId="19" formatCode="m/d/yy"/>
    </dxf>
    <dxf>
      <font>
        <sz val="18"/>
      </font>
    </dxf>
    <dxf>
      <numFmt numFmtId="165" formatCode="0.0%"/>
    </dxf>
    <dxf>
      <numFmt numFmtId="165" formatCode="0.0%"/>
    </dxf>
  </dxfs>
  <tableStyles count="0" defaultTableStyle="TableStyleMedium2" defaultPivotStyle="PivotStyleLight16"/>
  <colors>
    <mruColors>
      <color rgb="FFD6D6D6"/>
      <color rgb="FFD7EBEC"/>
      <color rgb="FFC1E8EC"/>
      <color rgb="FFCAEBEB"/>
      <color rgb="FFEBEBEB"/>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[GarrettNelson_Budget_Overview_Project.xlsx]Department_Spend_Mix!PivotTable2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2">
                    <a:lumMod val="25000"/>
                  </a:schemeClr>
                </a:solidFill>
              </a:rPr>
              <a:t>2023 Department Share</a:t>
            </a:r>
            <a:r>
              <a:rPr lang="en-US" sz="1600" baseline="0">
                <a:solidFill>
                  <a:schemeClr val="bg2">
                    <a:lumMod val="25000"/>
                  </a:schemeClr>
                </a:solidFill>
              </a:rPr>
              <a:t> of Total Operating Spend</a:t>
            </a:r>
            <a:endParaRPr lang="en-US" sz="1600">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Department_Spend_Mix!$B$3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0E-0B44-A0DC-99F44BC40F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0E-0B44-A0DC-99F44BC40F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0E-0B44-A0DC-99F44BC40F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0E-0B44-A0DC-99F44BC40F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B0E-0B44-A0DC-99F44BC40F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B0E-0B44-A0DC-99F44BC40F03}"/>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Department_Spend_Mix!$A$4:$A$10</c:f>
              <c:strCache>
                <c:ptCount val="6"/>
                <c:pt idx="0">
                  <c:v>Engineering</c:v>
                </c:pt>
                <c:pt idx="1">
                  <c:v>Facilities</c:v>
                </c:pt>
                <c:pt idx="2">
                  <c:v>G&amp;A</c:v>
                </c:pt>
                <c:pt idx="3">
                  <c:v>HR</c:v>
                </c:pt>
                <c:pt idx="4">
                  <c:v>Marketing</c:v>
                </c:pt>
                <c:pt idx="5">
                  <c:v>Operations</c:v>
                </c:pt>
              </c:strCache>
            </c:strRef>
          </c:cat>
          <c:val>
            <c:numRef>
              <c:f>Department_Spend_Mix!$B$4:$B$10</c:f>
              <c:numCache>
                <c:formatCode>0.0%</c:formatCode>
                <c:ptCount val="6"/>
                <c:pt idx="0">
                  <c:v>0.76052661445919878</c:v>
                </c:pt>
                <c:pt idx="1">
                  <c:v>2.7238678924072182E-2</c:v>
                </c:pt>
                <c:pt idx="2">
                  <c:v>2.7238678924072182E-2</c:v>
                </c:pt>
                <c:pt idx="3">
                  <c:v>4.8802633072295994E-2</c:v>
                </c:pt>
                <c:pt idx="4">
                  <c:v>4.2560435818862784E-2</c:v>
                </c:pt>
                <c:pt idx="5">
                  <c:v>9.3632958801498134E-2</c:v>
                </c:pt>
              </c:numCache>
            </c:numRef>
          </c:val>
          <c:extLst>
            <c:ext xmlns:c16="http://schemas.microsoft.com/office/drawing/2014/chart" uri="{C3380CC4-5D6E-409C-BE32-E72D297353CC}">
              <c16:uniqueId val="{0000000C-3B0E-0B44-A0DC-99F44BC40F0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bg2">
                    <a:lumMod val="2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400" b="0" i="0" u="none" strike="noStrike" kern="1200" baseline="0">
              <a:solidFill>
                <a:schemeClr val="bg2">
                  <a:lumMod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2023 Total Operating</a:t>
            </a:r>
            <a:r>
              <a:rPr lang="en-US" baseline="0">
                <a:solidFill>
                  <a:schemeClr val="bg2">
                    <a:lumMod val="25000"/>
                  </a:schemeClr>
                </a:solidFill>
              </a:rPr>
              <a:t> Spend Trend  (3-Month Rolling Avg)</a:t>
            </a:r>
            <a:endParaRPr lang="en-US">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lotArea>
      <c:layout/>
      <c:lineChart>
        <c:grouping val="standard"/>
        <c:varyColors val="0"/>
        <c:ser>
          <c:idx val="0"/>
          <c:order val="0"/>
          <c:tx>
            <c:strRef>
              <c:f>Trend_Data!$B$2</c:f>
              <c:strCache>
                <c:ptCount val="1"/>
                <c:pt idx="0">
                  <c:v> Total Spend </c:v>
                </c:pt>
              </c:strCache>
            </c:strRef>
          </c:tx>
          <c:spPr>
            <a:ln w="34925" cap="rnd">
              <a:solidFill>
                <a:schemeClr val="accent1"/>
              </a:solidFill>
              <a:round/>
            </a:ln>
            <a:effectLst/>
          </c:spPr>
          <c:marker>
            <c:symbol val="none"/>
          </c:marker>
          <c:cat>
            <c:numRef>
              <c:f>Trend_Data!$A$3:$A$26</c:f>
              <c:numCache>
                <c:formatCode>mmmm</c:formatCode>
                <c:ptCount val="24"/>
                <c:pt idx="0">
                  <c:v>44927</c:v>
                </c:pt>
                <c:pt idx="1">
                  <c:v>44927</c:v>
                </c:pt>
                <c:pt idx="2">
                  <c:v>44958</c:v>
                </c:pt>
                <c:pt idx="3">
                  <c:v>44958</c:v>
                </c:pt>
                <c:pt idx="4">
                  <c:v>44986</c:v>
                </c:pt>
                <c:pt idx="5">
                  <c:v>44986</c:v>
                </c:pt>
                <c:pt idx="6">
                  <c:v>45017</c:v>
                </c:pt>
                <c:pt idx="7">
                  <c:v>45017</c:v>
                </c:pt>
                <c:pt idx="8">
                  <c:v>45047</c:v>
                </c:pt>
                <c:pt idx="9">
                  <c:v>45047</c:v>
                </c:pt>
                <c:pt idx="10">
                  <c:v>45078</c:v>
                </c:pt>
                <c:pt idx="11">
                  <c:v>45078</c:v>
                </c:pt>
                <c:pt idx="12">
                  <c:v>45108</c:v>
                </c:pt>
                <c:pt idx="13">
                  <c:v>45108</c:v>
                </c:pt>
                <c:pt idx="14">
                  <c:v>45139</c:v>
                </c:pt>
                <c:pt idx="15">
                  <c:v>45139</c:v>
                </c:pt>
                <c:pt idx="16">
                  <c:v>45170</c:v>
                </c:pt>
                <c:pt idx="17">
                  <c:v>45170</c:v>
                </c:pt>
                <c:pt idx="18">
                  <c:v>45200</c:v>
                </c:pt>
                <c:pt idx="19">
                  <c:v>45200</c:v>
                </c:pt>
                <c:pt idx="20">
                  <c:v>45231</c:v>
                </c:pt>
                <c:pt idx="21">
                  <c:v>45231</c:v>
                </c:pt>
                <c:pt idx="22">
                  <c:v>45261</c:v>
                </c:pt>
                <c:pt idx="23">
                  <c:v>45261</c:v>
                </c:pt>
              </c:numCache>
            </c:numRef>
          </c:cat>
          <c:val>
            <c:numRef>
              <c:f>Trend_Data!$B$3:$B$26</c:f>
              <c:numCache>
                <c:formatCode>_("$"* #,##0.00_);_("$"* \(#,##0.00\);_("$"* "-"??_);_(@_)</c:formatCode>
                <c:ptCount val="24"/>
                <c:pt idx="0">
                  <c:v>143000</c:v>
                </c:pt>
                <c:pt idx="1">
                  <c:v>144270</c:v>
                </c:pt>
                <c:pt idx="2">
                  <c:v>138000</c:v>
                </c:pt>
                <c:pt idx="3">
                  <c:v>135854</c:v>
                </c:pt>
                <c:pt idx="4">
                  <c:v>139000</c:v>
                </c:pt>
                <c:pt idx="5">
                  <c:v>141853</c:v>
                </c:pt>
                <c:pt idx="6">
                  <c:v>143000</c:v>
                </c:pt>
                <c:pt idx="7">
                  <c:v>148990</c:v>
                </c:pt>
                <c:pt idx="8">
                  <c:v>137968</c:v>
                </c:pt>
                <c:pt idx="9">
                  <c:v>141100</c:v>
                </c:pt>
                <c:pt idx="10">
                  <c:v>146100</c:v>
                </c:pt>
                <c:pt idx="11">
                  <c:v>146960</c:v>
                </c:pt>
                <c:pt idx="12">
                  <c:v>133733</c:v>
                </c:pt>
                <c:pt idx="13">
                  <c:v>149000</c:v>
                </c:pt>
                <c:pt idx="14">
                  <c:v>154000</c:v>
                </c:pt>
                <c:pt idx="15">
                  <c:v>143800</c:v>
                </c:pt>
                <c:pt idx="16">
                  <c:v>152000</c:v>
                </c:pt>
                <c:pt idx="17">
                  <c:v>140070</c:v>
                </c:pt>
                <c:pt idx="18">
                  <c:v>151000</c:v>
                </c:pt>
                <c:pt idx="19">
                  <c:v>142238</c:v>
                </c:pt>
                <c:pt idx="20">
                  <c:v>151154</c:v>
                </c:pt>
                <c:pt idx="21">
                  <c:v>151000</c:v>
                </c:pt>
                <c:pt idx="22">
                  <c:v>151290</c:v>
                </c:pt>
                <c:pt idx="23">
                  <c:v>155000</c:v>
                </c:pt>
              </c:numCache>
            </c:numRef>
          </c:val>
          <c:smooth val="0"/>
          <c:extLst>
            <c:ext xmlns:c16="http://schemas.microsoft.com/office/drawing/2014/chart" uri="{C3380CC4-5D6E-409C-BE32-E72D297353CC}">
              <c16:uniqueId val="{00000000-EDC4-8B42-B04F-952D97D8C6CC}"/>
            </c:ext>
          </c:extLst>
        </c:ser>
        <c:ser>
          <c:idx val="1"/>
          <c:order val="1"/>
          <c:tx>
            <c:strRef>
              <c:f>Trend_Data!$C$2</c:f>
              <c:strCache>
                <c:ptCount val="1"/>
                <c:pt idx="0">
                  <c:v> 3-Month Rolling Average </c:v>
                </c:pt>
              </c:strCache>
            </c:strRef>
          </c:tx>
          <c:spPr>
            <a:ln w="28575" cap="rnd">
              <a:solidFill>
                <a:schemeClr val="accent2"/>
              </a:solidFill>
              <a:prstDash val="sysDot"/>
              <a:round/>
            </a:ln>
            <a:effectLst/>
          </c:spPr>
          <c:marker>
            <c:symbol val="circle"/>
            <c:size val="5"/>
            <c:spPr>
              <a:noFill/>
              <a:ln w="9525">
                <a:noFill/>
              </a:ln>
              <a:effectLst/>
            </c:spPr>
          </c:marker>
          <c:cat>
            <c:numRef>
              <c:f>Trend_Data!$A$3:$A$26</c:f>
              <c:numCache>
                <c:formatCode>mmmm</c:formatCode>
                <c:ptCount val="24"/>
                <c:pt idx="0">
                  <c:v>44927</c:v>
                </c:pt>
                <c:pt idx="1">
                  <c:v>44927</c:v>
                </c:pt>
                <c:pt idx="2">
                  <c:v>44958</c:v>
                </c:pt>
                <c:pt idx="3">
                  <c:v>44958</c:v>
                </c:pt>
                <c:pt idx="4">
                  <c:v>44986</c:v>
                </c:pt>
                <c:pt idx="5">
                  <c:v>44986</c:v>
                </c:pt>
                <c:pt idx="6">
                  <c:v>45017</c:v>
                </c:pt>
                <c:pt idx="7">
                  <c:v>45017</c:v>
                </c:pt>
                <c:pt idx="8">
                  <c:v>45047</c:v>
                </c:pt>
                <c:pt idx="9">
                  <c:v>45047</c:v>
                </c:pt>
                <c:pt idx="10">
                  <c:v>45078</c:v>
                </c:pt>
                <c:pt idx="11">
                  <c:v>45078</c:v>
                </c:pt>
                <c:pt idx="12">
                  <c:v>45108</c:v>
                </c:pt>
                <c:pt idx="13">
                  <c:v>45108</c:v>
                </c:pt>
                <c:pt idx="14">
                  <c:v>45139</c:v>
                </c:pt>
                <c:pt idx="15">
                  <c:v>45139</c:v>
                </c:pt>
                <c:pt idx="16">
                  <c:v>45170</c:v>
                </c:pt>
                <c:pt idx="17">
                  <c:v>45170</c:v>
                </c:pt>
                <c:pt idx="18">
                  <c:v>45200</c:v>
                </c:pt>
                <c:pt idx="19">
                  <c:v>45200</c:v>
                </c:pt>
                <c:pt idx="20">
                  <c:v>45231</c:v>
                </c:pt>
                <c:pt idx="21">
                  <c:v>45231</c:v>
                </c:pt>
                <c:pt idx="22">
                  <c:v>45261</c:v>
                </c:pt>
                <c:pt idx="23">
                  <c:v>45261</c:v>
                </c:pt>
              </c:numCache>
            </c:numRef>
          </c:cat>
          <c:val>
            <c:numRef>
              <c:f>Trend_Data!$C$3:$C$26</c:f>
              <c:numCache>
                <c:formatCode>_("$"* #,##0.00_);_("$"* \(#,##0.00\);_("$"* "-"??_);_(@_)</c:formatCode>
                <c:ptCount val="24"/>
                <c:pt idx="0">
                  <c:v>143000</c:v>
                </c:pt>
                <c:pt idx="1">
                  <c:v>143635</c:v>
                </c:pt>
                <c:pt idx="2">
                  <c:v>141756.67000000001</c:v>
                </c:pt>
                <c:pt idx="3">
                  <c:v>139374.67000000001</c:v>
                </c:pt>
                <c:pt idx="4">
                  <c:v>137618</c:v>
                </c:pt>
                <c:pt idx="5">
                  <c:v>138902.32999999999</c:v>
                </c:pt>
                <c:pt idx="6">
                  <c:v>141284.32999999999</c:v>
                </c:pt>
                <c:pt idx="7">
                  <c:v>144614.32999999999</c:v>
                </c:pt>
                <c:pt idx="8">
                  <c:v>143319.32999999999</c:v>
                </c:pt>
                <c:pt idx="9">
                  <c:v>142686</c:v>
                </c:pt>
                <c:pt idx="10">
                  <c:v>141722.67000000001</c:v>
                </c:pt>
                <c:pt idx="11">
                  <c:v>144720</c:v>
                </c:pt>
                <c:pt idx="12">
                  <c:v>142264.32999999999</c:v>
                </c:pt>
                <c:pt idx="13">
                  <c:v>143231</c:v>
                </c:pt>
                <c:pt idx="14">
                  <c:v>145577.67000000001</c:v>
                </c:pt>
                <c:pt idx="15">
                  <c:v>148933.32999999999</c:v>
                </c:pt>
                <c:pt idx="16">
                  <c:v>149933.32999999999</c:v>
                </c:pt>
                <c:pt idx="17">
                  <c:v>145290</c:v>
                </c:pt>
                <c:pt idx="18">
                  <c:v>147690</c:v>
                </c:pt>
                <c:pt idx="19">
                  <c:v>144436</c:v>
                </c:pt>
                <c:pt idx="20">
                  <c:v>148130.67000000001</c:v>
                </c:pt>
                <c:pt idx="21">
                  <c:v>148130.67000000001</c:v>
                </c:pt>
                <c:pt idx="22">
                  <c:v>151148</c:v>
                </c:pt>
                <c:pt idx="23">
                  <c:v>152430</c:v>
                </c:pt>
              </c:numCache>
            </c:numRef>
          </c:val>
          <c:smooth val="0"/>
          <c:extLst>
            <c:ext xmlns:c16="http://schemas.microsoft.com/office/drawing/2014/chart" uri="{C3380CC4-5D6E-409C-BE32-E72D297353CC}">
              <c16:uniqueId val="{00000001-EDC4-8B42-B04F-952D97D8C6CC}"/>
            </c:ext>
          </c:extLst>
        </c:ser>
        <c:dLbls>
          <c:showLegendKey val="0"/>
          <c:showVal val="0"/>
          <c:showCatName val="0"/>
          <c:showSerName val="0"/>
          <c:showPercent val="0"/>
          <c:showBubbleSize val="0"/>
        </c:dLbls>
        <c:smooth val="0"/>
        <c:axId val="864330271"/>
        <c:axId val="1092195071"/>
      </c:lineChart>
      <c:dateAx>
        <c:axId val="864330271"/>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Month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m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2">
                    <a:lumMod val="25000"/>
                  </a:schemeClr>
                </a:solidFill>
                <a:latin typeface="+mn-lt"/>
                <a:ea typeface="+mn-ea"/>
                <a:cs typeface="+mn-cs"/>
              </a:defRPr>
            </a:pPr>
            <a:endParaRPr lang="en-US"/>
          </a:p>
        </c:txPr>
        <c:crossAx val="1092195071"/>
        <c:crosses val="autoZero"/>
        <c:auto val="1"/>
        <c:lblOffset val="100"/>
        <c:baseTimeUnit val="days"/>
      </c:dateAx>
      <c:valAx>
        <c:axId val="1092195071"/>
        <c:scaling>
          <c:orientation val="minMax"/>
        </c:scaling>
        <c:delete val="0"/>
        <c:axPos val="l"/>
        <c:majorGridlines>
          <c:spPr>
            <a:ln w="9525" cap="flat" cmpd="sng" algn="ctr">
              <a:solidFill>
                <a:schemeClr val="tx2">
                  <a:lumMod val="20000"/>
                  <a:lumOff val="80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Total Spend ($K)</a:t>
                </a:r>
              </a:p>
            </c:rich>
          </c:tx>
          <c:layout>
            <c:manualLayout>
              <c:xMode val="edge"/>
              <c:yMode val="edge"/>
              <c:x val="5.7970443937574072E-3"/>
              <c:y val="0.3593151448044401"/>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64330271"/>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2023 Operating Spend - Month-Over-Month</a:t>
            </a:r>
            <a:r>
              <a:rPr lang="en-US" baseline="0">
                <a:solidFill>
                  <a:schemeClr val="bg2">
                    <a:lumMod val="25000"/>
                  </a:schemeClr>
                </a:solidFill>
              </a:rPr>
              <a:t> Growth (%)</a:t>
            </a:r>
            <a:endParaRPr lang="en-US">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lotArea>
      <c:layout/>
      <c:barChart>
        <c:barDir val="col"/>
        <c:grouping val="clustered"/>
        <c:varyColors val="0"/>
        <c:ser>
          <c:idx val="1"/>
          <c:order val="0"/>
          <c:tx>
            <c:strRef>
              <c:f>MoM_Analysis!$C$2</c:f>
              <c:strCache>
                <c:ptCount val="1"/>
                <c:pt idx="0">
                  <c:v>MoM Percent Change</c:v>
                </c:pt>
              </c:strCache>
            </c:strRef>
          </c:tx>
          <c:spPr>
            <a:solidFill>
              <a:srgbClr val="203864"/>
            </a:solidFill>
            <a:ln>
              <a:noFill/>
            </a:ln>
            <a:effectLst/>
          </c:spPr>
          <c:invertIfNegative val="1"/>
          <c:dPt>
            <c:idx val="1"/>
            <c:invertIfNegative val="1"/>
            <c:bubble3D val="0"/>
            <c:spPr>
              <a:solidFill>
                <a:srgbClr val="203864"/>
              </a:solidFill>
              <a:ln>
                <a:noFill/>
              </a:ln>
              <a:effectLst/>
            </c:spPr>
            <c:extLst>
              <c:ext xmlns:c16="http://schemas.microsoft.com/office/drawing/2014/chart" uri="{C3380CC4-5D6E-409C-BE32-E72D297353CC}">
                <c16:uniqueId val="{00000001-FD0B-C544-9B3F-37DAEA6A0AE1}"/>
              </c:ext>
            </c:extLst>
          </c:dPt>
          <c:dPt>
            <c:idx val="4"/>
            <c:invertIfNegative val="1"/>
            <c:bubble3D val="0"/>
            <c:spPr>
              <a:solidFill>
                <a:srgbClr val="203864"/>
              </a:solidFill>
              <a:ln>
                <a:noFill/>
              </a:ln>
              <a:effectLst/>
            </c:spPr>
            <c:extLst>
              <c:ext xmlns:c16="http://schemas.microsoft.com/office/drawing/2014/chart" uri="{C3380CC4-5D6E-409C-BE32-E72D297353CC}">
                <c16:uniqueId val="{00000003-FD0B-C544-9B3F-37DAEA6A0AE1}"/>
              </c:ext>
            </c:extLst>
          </c:dPt>
          <c:dPt>
            <c:idx val="5"/>
            <c:invertIfNegative val="1"/>
            <c:bubble3D val="0"/>
            <c:spPr>
              <a:solidFill>
                <a:srgbClr val="203864"/>
              </a:solidFill>
              <a:ln>
                <a:noFill/>
              </a:ln>
              <a:effectLst/>
            </c:spPr>
            <c:extLst>
              <c:ext xmlns:c16="http://schemas.microsoft.com/office/drawing/2014/chart" uri="{C3380CC4-5D6E-409C-BE32-E72D297353CC}">
                <c16:uniqueId val="{00000005-FD0B-C544-9B3F-37DAEA6A0AE1}"/>
              </c:ext>
            </c:extLst>
          </c:dPt>
          <c:dPt>
            <c:idx val="6"/>
            <c:invertIfNegative val="1"/>
            <c:bubble3D val="0"/>
            <c:spPr>
              <a:solidFill>
                <a:srgbClr val="203864"/>
              </a:solidFill>
              <a:ln>
                <a:noFill/>
              </a:ln>
              <a:effectLst/>
            </c:spPr>
            <c:extLst>
              <c:ext xmlns:c16="http://schemas.microsoft.com/office/drawing/2014/chart" uri="{C3380CC4-5D6E-409C-BE32-E72D297353CC}">
                <c16:uniqueId val="{00000007-FD0B-C544-9B3F-37DAEA6A0AE1}"/>
              </c:ext>
            </c:extLst>
          </c:dPt>
          <c:dPt>
            <c:idx val="7"/>
            <c:invertIfNegative val="1"/>
            <c:bubble3D val="0"/>
            <c:spPr>
              <a:solidFill>
                <a:srgbClr val="203864"/>
              </a:solidFill>
              <a:ln>
                <a:noFill/>
              </a:ln>
              <a:effectLst/>
            </c:spPr>
            <c:extLst>
              <c:ext xmlns:c16="http://schemas.microsoft.com/office/drawing/2014/chart" uri="{C3380CC4-5D6E-409C-BE32-E72D297353CC}">
                <c16:uniqueId val="{00000009-FD0B-C544-9B3F-37DAEA6A0AE1}"/>
              </c:ext>
            </c:extLst>
          </c:dPt>
          <c:dPt>
            <c:idx val="9"/>
            <c:invertIfNegative val="1"/>
            <c:bubble3D val="0"/>
            <c:spPr>
              <a:solidFill>
                <a:srgbClr val="203864"/>
              </a:solidFill>
              <a:ln>
                <a:noFill/>
              </a:ln>
              <a:effectLst/>
            </c:spPr>
            <c:extLst>
              <c:ext xmlns:c16="http://schemas.microsoft.com/office/drawing/2014/chart" uri="{C3380CC4-5D6E-409C-BE32-E72D297353CC}">
                <c16:uniqueId val="{0000000B-FD0B-C544-9B3F-37DAEA6A0AE1}"/>
              </c:ext>
            </c:extLst>
          </c:dPt>
          <c:dPt>
            <c:idx val="10"/>
            <c:invertIfNegative val="1"/>
            <c:bubble3D val="0"/>
            <c:spPr>
              <a:solidFill>
                <a:srgbClr val="203864"/>
              </a:solidFill>
              <a:ln>
                <a:noFill/>
              </a:ln>
              <a:effectLst/>
            </c:spPr>
            <c:extLst>
              <c:ext xmlns:c16="http://schemas.microsoft.com/office/drawing/2014/chart" uri="{C3380CC4-5D6E-409C-BE32-E72D297353CC}">
                <c16:uniqueId val="{0000000D-FD0B-C544-9B3F-37DAEA6A0AE1}"/>
              </c:ext>
            </c:extLst>
          </c:dPt>
          <c:dPt>
            <c:idx val="18"/>
            <c:invertIfNegative val="1"/>
            <c:bubble3D val="0"/>
            <c:spPr>
              <a:solidFill>
                <a:srgbClr val="203864"/>
              </a:solidFill>
              <a:ln>
                <a:noFill/>
              </a:ln>
              <a:effectLst/>
            </c:spPr>
            <c:extLst>
              <c:ext xmlns:c16="http://schemas.microsoft.com/office/drawing/2014/chart" uri="{C3380CC4-5D6E-409C-BE32-E72D297353CC}">
                <c16:uniqueId val="{0000000F-FD0B-C544-9B3F-37DAEA6A0AE1}"/>
              </c:ext>
            </c:extLst>
          </c:dPt>
          <c:dLbls>
            <c:dLbl>
              <c:idx val="1"/>
              <c:delete val="1"/>
              <c:extLst>
                <c:ext xmlns:c15="http://schemas.microsoft.com/office/drawing/2012/chart" uri="{CE6537A1-D6FC-4f65-9D91-7224C49458BB}"/>
                <c:ext xmlns:c16="http://schemas.microsoft.com/office/drawing/2014/chart" uri="{C3380CC4-5D6E-409C-BE32-E72D297353CC}">
                  <c16:uniqueId val="{00000001-FD0B-C544-9B3F-37DAEA6A0AE1}"/>
                </c:ext>
              </c:extLst>
            </c:dLbl>
            <c:dLbl>
              <c:idx val="2"/>
              <c:delete val="1"/>
              <c:extLst>
                <c:ext xmlns:c15="http://schemas.microsoft.com/office/drawing/2012/chart" uri="{CE6537A1-D6FC-4f65-9D91-7224C49458BB}"/>
                <c:ext xmlns:c16="http://schemas.microsoft.com/office/drawing/2014/chart" uri="{C3380CC4-5D6E-409C-BE32-E72D297353CC}">
                  <c16:uniqueId val="{00000010-FD0B-C544-9B3F-37DAEA6A0AE1}"/>
                </c:ext>
              </c:extLst>
            </c:dLbl>
            <c:dLbl>
              <c:idx val="3"/>
              <c:delete val="1"/>
              <c:extLst>
                <c:ext xmlns:c15="http://schemas.microsoft.com/office/drawing/2012/chart" uri="{CE6537A1-D6FC-4f65-9D91-7224C49458BB}"/>
                <c:ext xmlns:c16="http://schemas.microsoft.com/office/drawing/2014/chart" uri="{C3380CC4-5D6E-409C-BE32-E72D297353CC}">
                  <c16:uniqueId val="{00000011-FD0B-C544-9B3F-37DAEA6A0AE1}"/>
                </c:ext>
              </c:extLst>
            </c:dLbl>
            <c:dLbl>
              <c:idx val="4"/>
              <c:delete val="1"/>
              <c:extLst>
                <c:ext xmlns:c15="http://schemas.microsoft.com/office/drawing/2012/chart" uri="{CE6537A1-D6FC-4f65-9D91-7224C49458BB}"/>
                <c:ext xmlns:c16="http://schemas.microsoft.com/office/drawing/2014/chart" uri="{C3380CC4-5D6E-409C-BE32-E72D297353CC}">
                  <c16:uniqueId val="{00000003-FD0B-C544-9B3F-37DAEA6A0AE1}"/>
                </c:ext>
              </c:extLst>
            </c:dLbl>
            <c:dLbl>
              <c:idx val="5"/>
              <c:delete val="1"/>
              <c:extLst>
                <c:ext xmlns:c15="http://schemas.microsoft.com/office/drawing/2012/chart" uri="{CE6537A1-D6FC-4f65-9D91-7224C49458BB}"/>
                <c:ext xmlns:c16="http://schemas.microsoft.com/office/drawing/2014/chart" uri="{C3380CC4-5D6E-409C-BE32-E72D297353CC}">
                  <c16:uniqueId val="{00000005-FD0B-C544-9B3F-37DAEA6A0AE1}"/>
                </c:ext>
              </c:extLst>
            </c:dLbl>
            <c:dLbl>
              <c:idx val="6"/>
              <c:delete val="1"/>
              <c:extLst>
                <c:ext xmlns:c15="http://schemas.microsoft.com/office/drawing/2012/chart" uri="{CE6537A1-D6FC-4f65-9D91-7224C49458BB}"/>
                <c:ext xmlns:c16="http://schemas.microsoft.com/office/drawing/2014/chart" uri="{C3380CC4-5D6E-409C-BE32-E72D297353CC}">
                  <c16:uniqueId val="{00000007-FD0B-C544-9B3F-37DAEA6A0AE1}"/>
                </c:ext>
              </c:extLst>
            </c:dLbl>
            <c:dLbl>
              <c:idx val="7"/>
              <c:delete val="1"/>
              <c:extLst>
                <c:ext xmlns:c15="http://schemas.microsoft.com/office/drawing/2012/chart" uri="{CE6537A1-D6FC-4f65-9D91-7224C49458BB}"/>
                <c:ext xmlns:c16="http://schemas.microsoft.com/office/drawing/2014/chart" uri="{C3380CC4-5D6E-409C-BE32-E72D297353CC}">
                  <c16:uniqueId val="{00000009-FD0B-C544-9B3F-37DAEA6A0AE1}"/>
                </c:ext>
              </c:extLst>
            </c:dLbl>
            <c:dLbl>
              <c:idx val="9"/>
              <c:delete val="1"/>
              <c:extLst>
                <c:ext xmlns:c15="http://schemas.microsoft.com/office/drawing/2012/chart" uri="{CE6537A1-D6FC-4f65-9D91-7224C49458BB}"/>
                <c:ext xmlns:c16="http://schemas.microsoft.com/office/drawing/2014/chart" uri="{C3380CC4-5D6E-409C-BE32-E72D297353CC}">
                  <c16:uniqueId val="{0000000B-FD0B-C544-9B3F-37DAEA6A0AE1}"/>
                </c:ext>
              </c:extLst>
            </c:dLbl>
            <c:dLbl>
              <c:idx val="10"/>
              <c:delete val="1"/>
              <c:extLst>
                <c:ext xmlns:c15="http://schemas.microsoft.com/office/drawing/2012/chart" uri="{CE6537A1-D6FC-4f65-9D91-7224C49458BB}"/>
                <c:ext xmlns:c16="http://schemas.microsoft.com/office/drawing/2014/chart" uri="{C3380CC4-5D6E-409C-BE32-E72D297353CC}">
                  <c16:uniqueId val="{0000000D-FD0B-C544-9B3F-37DAEA6A0AE1}"/>
                </c:ext>
              </c:extLst>
            </c:dLbl>
            <c:dLbl>
              <c:idx val="11"/>
              <c:delete val="1"/>
              <c:extLst>
                <c:ext xmlns:c15="http://schemas.microsoft.com/office/drawing/2012/chart" uri="{CE6537A1-D6FC-4f65-9D91-7224C49458BB}"/>
                <c:ext xmlns:c16="http://schemas.microsoft.com/office/drawing/2014/chart" uri="{C3380CC4-5D6E-409C-BE32-E72D297353CC}">
                  <c16:uniqueId val="{00000012-FD0B-C544-9B3F-37DAEA6A0AE1}"/>
                </c:ext>
              </c:extLst>
            </c:dLbl>
            <c:dLbl>
              <c:idx val="14"/>
              <c:delete val="1"/>
              <c:extLst>
                <c:ext xmlns:c15="http://schemas.microsoft.com/office/drawing/2012/chart" uri="{CE6537A1-D6FC-4f65-9D91-7224C49458BB}"/>
                <c:ext xmlns:c16="http://schemas.microsoft.com/office/drawing/2014/chart" uri="{C3380CC4-5D6E-409C-BE32-E72D297353CC}">
                  <c16:uniqueId val="{00000013-FD0B-C544-9B3F-37DAEA6A0AE1}"/>
                </c:ext>
              </c:extLst>
            </c:dLbl>
            <c:dLbl>
              <c:idx val="15"/>
              <c:delete val="1"/>
              <c:extLst>
                <c:ext xmlns:c15="http://schemas.microsoft.com/office/drawing/2012/chart" uri="{CE6537A1-D6FC-4f65-9D91-7224C49458BB}"/>
                <c:ext xmlns:c16="http://schemas.microsoft.com/office/drawing/2014/chart" uri="{C3380CC4-5D6E-409C-BE32-E72D297353CC}">
                  <c16:uniqueId val="{00000014-FD0B-C544-9B3F-37DAEA6A0AE1}"/>
                </c:ext>
              </c:extLst>
            </c:dLbl>
            <c:dLbl>
              <c:idx val="16"/>
              <c:delete val="1"/>
              <c:extLst>
                <c:ext xmlns:c15="http://schemas.microsoft.com/office/drawing/2012/chart" uri="{CE6537A1-D6FC-4f65-9D91-7224C49458BB}"/>
                <c:ext xmlns:c16="http://schemas.microsoft.com/office/drawing/2014/chart" uri="{C3380CC4-5D6E-409C-BE32-E72D297353CC}">
                  <c16:uniqueId val="{00000015-FD0B-C544-9B3F-37DAEA6A0AE1}"/>
                </c:ext>
              </c:extLst>
            </c:dLbl>
            <c:dLbl>
              <c:idx val="18"/>
              <c:delete val="1"/>
              <c:extLst>
                <c:ext xmlns:c15="http://schemas.microsoft.com/office/drawing/2012/chart" uri="{CE6537A1-D6FC-4f65-9D91-7224C49458BB}"/>
                <c:ext xmlns:c16="http://schemas.microsoft.com/office/drawing/2014/chart" uri="{C3380CC4-5D6E-409C-BE32-E72D297353CC}">
                  <c16:uniqueId val="{0000000F-FD0B-C544-9B3F-37DAEA6A0AE1}"/>
                </c:ext>
              </c:extLst>
            </c:dLbl>
            <c:dLbl>
              <c:idx val="19"/>
              <c:delete val="1"/>
              <c:extLst>
                <c:ext xmlns:c15="http://schemas.microsoft.com/office/drawing/2012/chart" uri="{CE6537A1-D6FC-4f65-9D91-7224C49458BB}"/>
                <c:ext xmlns:c16="http://schemas.microsoft.com/office/drawing/2014/chart" uri="{C3380CC4-5D6E-409C-BE32-E72D297353CC}">
                  <c16:uniqueId val="{00000016-FD0B-C544-9B3F-37DAEA6A0AE1}"/>
                </c:ext>
              </c:extLst>
            </c:dLbl>
            <c:dLbl>
              <c:idx val="20"/>
              <c:delete val="1"/>
              <c:extLst>
                <c:ext xmlns:c15="http://schemas.microsoft.com/office/drawing/2012/chart" uri="{CE6537A1-D6FC-4f65-9D91-7224C49458BB}"/>
                <c:ext xmlns:c16="http://schemas.microsoft.com/office/drawing/2014/chart" uri="{C3380CC4-5D6E-409C-BE32-E72D297353CC}">
                  <c16:uniqueId val="{00000017-FD0B-C544-9B3F-37DAEA6A0AE1}"/>
                </c:ext>
              </c:extLst>
            </c:dLbl>
            <c:dLbl>
              <c:idx val="21"/>
              <c:delete val="1"/>
              <c:extLst>
                <c:ext xmlns:c15="http://schemas.microsoft.com/office/drawing/2012/chart" uri="{CE6537A1-D6FC-4f65-9D91-7224C49458BB}"/>
                <c:ext xmlns:c16="http://schemas.microsoft.com/office/drawing/2014/chart" uri="{C3380CC4-5D6E-409C-BE32-E72D297353CC}">
                  <c16:uniqueId val="{00000018-FD0B-C544-9B3F-37DAEA6A0AE1}"/>
                </c:ext>
              </c:extLst>
            </c:dLbl>
            <c:dLbl>
              <c:idx val="22"/>
              <c:delete val="1"/>
              <c:extLst>
                <c:ext xmlns:c15="http://schemas.microsoft.com/office/drawing/2012/chart" uri="{CE6537A1-D6FC-4f65-9D91-7224C49458BB}"/>
                <c:ext xmlns:c16="http://schemas.microsoft.com/office/drawing/2014/chart" uri="{C3380CC4-5D6E-409C-BE32-E72D297353CC}">
                  <c16:uniqueId val="{00000019-FD0B-C544-9B3F-37DAEA6A0AE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MoM_Analysis!$A$3:$A$26</c:f>
              <c:numCache>
                <c:formatCode>mmm</c:formatCode>
                <c:ptCount val="24"/>
                <c:pt idx="0">
                  <c:v>44927</c:v>
                </c:pt>
                <c:pt idx="1">
                  <c:v>44927</c:v>
                </c:pt>
                <c:pt idx="2">
                  <c:v>44958</c:v>
                </c:pt>
                <c:pt idx="3">
                  <c:v>44958</c:v>
                </c:pt>
                <c:pt idx="4">
                  <c:v>44986</c:v>
                </c:pt>
                <c:pt idx="5">
                  <c:v>44986</c:v>
                </c:pt>
                <c:pt idx="6">
                  <c:v>45017</c:v>
                </c:pt>
                <c:pt idx="7">
                  <c:v>45017</c:v>
                </c:pt>
                <c:pt idx="8">
                  <c:v>45047</c:v>
                </c:pt>
                <c:pt idx="9">
                  <c:v>45047</c:v>
                </c:pt>
                <c:pt idx="10">
                  <c:v>45078</c:v>
                </c:pt>
                <c:pt idx="11">
                  <c:v>45078</c:v>
                </c:pt>
                <c:pt idx="12">
                  <c:v>45108</c:v>
                </c:pt>
                <c:pt idx="13">
                  <c:v>45108</c:v>
                </c:pt>
                <c:pt idx="14">
                  <c:v>45139</c:v>
                </c:pt>
                <c:pt idx="15">
                  <c:v>45139</c:v>
                </c:pt>
                <c:pt idx="16">
                  <c:v>45170</c:v>
                </c:pt>
                <c:pt idx="17">
                  <c:v>45170</c:v>
                </c:pt>
                <c:pt idx="18">
                  <c:v>45200</c:v>
                </c:pt>
                <c:pt idx="19">
                  <c:v>45200</c:v>
                </c:pt>
                <c:pt idx="20">
                  <c:v>45231</c:v>
                </c:pt>
                <c:pt idx="21">
                  <c:v>45231</c:v>
                </c:pt>
                <c:pt idx="22">
                  <c:v>45261</c:v>
                </c:pt>
                <c:pt idx="23">
                  <c:v>45261</c:v>
                </c:pt>
              </c:numCache>
            </c:numRef>
          </c:cat>
          <c:val>
            <c:numRef>
              <c:f>MoM_Analysis!$C$3:$C$26</c:f>
              <c:numCache>
                <c:formatCode>General</c:formatCode>
                <c:ptCount val="24"/>
                <c:pt idx="1">
                  <c:v>0.89</c:v>
                </c:pt>
                <c:pt idx="2">
                  <c:v>-4.3499999999999996</c:v>
                </c:pt>
                <c:pt idx="3">
                  <c:v>-1.56</c:v>
                </c:pt>
                <c:pt idx="4">
                  <c:v>2.3199999999999998</c:v>
                </c:pt>
                <c:pt idx="5">
                  <c:v>2.0499999999999998</c:v>
                </c:pt>
                <c:pt idx="6">
                  <c:v>0.81</c:v>
                </c:pt>
                <c:pt idx="7">
                  <c:v>4.1900000000000004</c:v>
                </c:pt>
                <c:pt idx="8">
                  <c:v>-7.4</c:v>
                </c:pt>
                <c:pt idx="9">
                  <c:v>2.27</c:v>
                </c:pt>
                <c:pt idx="10">
                  <c:v>3.54</c:v>
                </c:pt>
                <c:pt idx="11">
                  <c:v>0.59</c:v>
                </c:pt>
                <c:pt idx="12">
                  <c:v>-9</c:v>
                </c:pt>
                <c:pt idx="13">
                  <c:v>11.42</c:v>
                </c:pt>
                <c:pt idx="14">
                  <c:v>3.36</c:v>
                </c:pt>
                <c:pt idx="15">
                  <c:v>-6.62</c:v>
                </c:pt>
                <c:pt idx="16">
                  <c:v>5.7</c:v>
                </c:pt>
                <c:pt idx="17">
                  <c:v>-7.85</c:v>
                </c:pt>
                <c:pt idx="18">
                  <c:v>7.8</c:v>
                </c:pt>
                <c:pt idx="19">
                  <c:v>-5.8</c:v>
                </c:pt>
                <c:pt idx="20">
                  <c:v>6.27</c:v>
                </c:pt>
                <c:pt idx="21">
                  <c:v>-0.1</c:v>
                </c:pt>
                <c:pt idx="22">
                  <c:v>0.19</c:v>
                </c:pt>
                <c:pt idx="23">
                  <c:v>2.4500000000000002</c:v>
                </c:pt>
              </c:numCache>
            </c:numRef>
          </c:val>
          <c:extLst>
            <c:ext xmlns:c14="http://schemas.microsoft.com/office/drawing/2007/8/2/chart" uri="{6F2FDCE9-48DA-4B69-8628-5D25D57E5C99}">
              <c14:invertSolidFillFmt>
                <c14:spPr xmlns:c14="http://schemas.microsoft.com/office/drawing/2007/8/2/chart">
                  <a:solidFill>
                    <a:srgbClr val="FF7E79"/>
                  </a:solidFill>
                  <a:ln>
                    <a:noFill/>
                  </a:ln>
                  <a:effectLst/>
                </c14:spPr>
              </c14:invertSolidFillFmt>
            </c:ext>
            <c:ext xmlns:c16="http://schemas.microsoft.com/office/drawing/2014/chart" uri="{C3380CC4-5D6E-409C-BE32-E72D297353CC}">
              <c16:uniqueId val="{0000001A-FD0B-C544-9B3F-37DAEA6A0AE1}"/>
            </c:ext>
          </c:extLst>
        </c:ser>
        <c:dLbls>
          <c:showLegendKey val="0"/>
          <c:showVal val="0"/>
          <c:showCatName val="0"/>
          <c:showSerName val="0"/>
          <c:showPercent val="0"/>
          <c:showBubbleSize val="0"/>
        </c:dLbls>
        <c:gapWidth val="30"/>
        <c:overlap val="-27"/>
        <c:axId val="886377391"/>
        <c:axId val="886436623"/>
      </c:barChart>
      <c:catAx>
        <c:axId val="886377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solidFill>
                      <a:schemeClr val="bg2">
                        <a:lumMod val="25000"/>
                      </a:schemeClr>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 sourceLinked="0"/>
        <c:majorTickMark val="out"/>
        <c:minorTickMark val="none"/>
        <c:tickLblPos val="low"/>
        <c:spPr>
          <a:noFill/>
          <a:ln w="9525" cap="flat" cmpd="sng" algn="ctr">
            <a:solidFill>
              <a:schemeClr val="tx1"/>
            </a:solidFill>
            <a:round/>
          </a:ln>
          <a:effectLst/>
        </c:spPr>
        <c:txPr>
          <a:bodyPr rot="0" spcFirstLastPara="1" vertOverflow="ellipsis" wrap="square" anchor="ctr" anchorCtr="0"/>
          <a:lstStyle/>
          <a:p>
            <a:pPr>
              <a:defRPr sz="1050" b="0" i="0" u="none" strike="noStrike" kern="1200" baseline="0">
                <a:ln>
                  <a:noFill/>
                </a:ln>
                <a:solidFill>
                  <a:schemeClr val="bg2">
                    <a:lumMod val="25000"/>
                  </a:schemeClr>
                </a:solidFill>
                <a:latin typeface="+mn-lt"/>
                <a:ea typeface="+mn-ea"/>
                <a:cs typeface="+mn-cs"/>
              </a:defRPr>
            </a:pPr>
            <a:endParaRPr lang="en-US"/>
          </a:p>
        </c:txPr>
        <c:crossAx val="886436623"/>
        <c:crosses val="autoZero"/>
        <c:auto val="0"/>
        <c:lblAlgn val="ctr"/>
        <c:lblOffset val="100"/>
        <c:tickLblSkip val="2"/>
        <c:tickMarkSkip val="1"/>
        <c:noMultiLvlLbl val="0"/>
      </c:catAx>
      <c:valAx>
        <c:axId val="886436623"/>
        <c:scaling>
          <c:orientation val="minMax"/>
        </c:scaling>
        <c:delete val="0"/>
        <c:axPos val="l"/>
        <c:majorGridlines>
          <c:spPr>
            <a:ln w="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solidFill>
                      <a:schemeClr val="bg2">
                        <a:lumMod val="25000"/>
                      </a:schemeClr>
                    </a:solidFill>
                  </a:rPr>
                  <a:t>Percent Change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3773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bg2">
                    <a:lumMod val="25000"/>
                  </a:schemeClr>
                </a:solidFill>
                <a:latin typeface="+mn-lt"/>
                <a:ea typeface="+mn-ea"/>
                <a:cs typeface="+mn-cs"/>
              </a:defRPr>
            </a:pPr>
            <a:r>
              <a:rPr lang="en-US" sz="1600">
                <a:solidFill>
                  <a:schemeClr val="bg2">
                    <a:lumMod val="25000"/>
                  </a:schemeClr>
                </a:solidFill>
              </a:rPr>
              <a:t>2023 Department Spend Volatility</a:t>
            </a:r>
            <a:r>
              <a:rPr lang="en-US" sz="1600" baseline="0">
                <a:solidFill>
                  <a:schemeClr val="bg2">
                    <a:lumMod val="25000"/>
                  </a:schemeClr>
                </a:solidFill>
              </a:rPr>
              <a:t> </a:t>
            </a:r>
            <a:endParaRPr lang="en-US" sz="1600">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2">
                  <a:lumMod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'Risk Analysis'!$B$2</c:f>
              <c:strCache>
                <c:ptCount val="1"/>
                <c:pt idx="0">
                  <c:v>spend_volatility</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Analysis'!$A$3:$A$8</c:f>
              <c:strCache>
                <c:ptCount val="6"/>
                <c:pt idx="0">
                  <c:v>Engineering</c:v>
                </c:pt>
                <c:pt idx="1">
                  <c:v>Marketing</c:v>
                </c:pt>
                <c:pt idx="2">
                  <c:v>Operations</c:v>
                </c:pt>
                <c:pt idx="3">
                  <c:v>HR</c:v>
                </c:pt>
                <c:pt idx="4">
                  <c:v>Facilities</c:v>
                </c:pt>
                <c:pt idx="5">
                  <c:v>G&amp;A</c:v>
                </c:pt>
              </c:strCache>
            </c:strRef>
          </c:cat>
          <c:val>
            <c:numRef>
              <c:f>'Risk Analysis'!$B$3:$B$8</c:f>
              <c:numCache>
                <c:formatCode>0.0</c:formatCode>
                <c:ptCount val="6"/>
                <c:pt idx="0">
                  <c:v>4373.6499999999996</c:v>
                </c:pt>
                <c:pt idx="1">
                  <c:v>2701.01</c:v>
                </c:pt>
                <c:pt idx="2">
                  <c:v>1544.79</c:v>
                </c:pt>
                <c:pt idx="3">
                  <c:v>1029.8599999999999</c:v>
                </c:pt>
                <c:pt idx="4">
                  <c:v>0</c:v>
                </c:pt>
                <c:pt idx="5">
                  <c:v>0</c:v>
                </c:pt>
              </c:numCache>
            </c:numRef>
          </c:val>
          <c:extLst>
            <c:ext xmlns:c16="http://schemas.microsoft.com/office/drawing/2014/chart" uri="{C3380CC4-5D6E-409C-BE32-E72D297353CC}">
              <c16:uniqueId val="{00000000-9540-E446-9D94-56A084DE9827}"/>
            </c:ext>
          </c:extLst>
        </c:ser>
        <c:dLbls>
          <c:dLblPos val="outEnd"/>
          <c:showLegendKey val="0"/>
          <c:showVal val="1"/>
          <c:showCatName val="0"/>
          <c:showSerName val="0"/>
          <c:showPercent val="0"/>
          <c:showBubbleSize val="0"/>
        </c:dLbls>
        <c:gapWidth val="182"/>
        <c:axId val="464825263"/>
        <c:axId val="948695871"/>
      </c:barChart>
      <c:catAx>
        <c:axId val="464825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chemeClr val="bg2">
                        <a:lumMod val="25000"/>
                      </a:schemeClr>
                    </a:solidFill>
                  </a:rPr>
                  <a:t>Department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2">
                    <a:lumMod val="25000"/>
                  </a:schemeClr>
                </a:solidFill>
                <a:latin typeface="+mn-lt"/>
                <a:ea typeface="+mn-ea"/>
                <a:cs typeface="+mn-cs"/>
              </a:defRPr>
            </a:pPr>
            <a:endParaRPr lang="en-US"/>
          </a:p>
        </c:txPr>
        <c:crossAx val="948695871"/>
        <c:crosses val="autoZero"/>
        <c:auto val="1"/>
        <c:lblAlgn val="ctr"/>
        <c:lblOffset val="100"/>
        <c:noMultiLvlLbl val="0"/>
      </c:catAx>
      <c:valAx>
        <c:axId val="948695871"/>
        <c:scaling>
          <c:orientation val="minMax"/>
          <c:max val="4700"/>
          <c:min val="0"/>
        </c:scaling>
        <c:delete val="0"/>
        <c:axPos val="b"/>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chemeClr val="bg2">
                        <a:lumMod val="25000"/>
                      </a:schemeClr>
                    </a:solidFill>
                  </a:rPr>
                  <a:t>Volatility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64825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Budget v. Actual</a:t>
            </a:r>
            <a:r>
              <a:rPr lang="en-US" baseline="0">
                <a:solidFill>
                  <a:schemeClr val="bg2">
                    <a:lumMod val="25000"/>
                  </a:schemeClr>
                </a:solidFill>
              </a:rPr>
              <a:t> Variance</a:t>
            </a:r>
            <a:endParaRPr lang="en-US">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Budget_Variance_Analysis!$D$2</c:f>
              <c:strCache>
                <c:ptCount val="1"/>
                <c:pt idx="0">
                  <c:v>Variance ($)</c:v>
                </c:pt>
              </c:strCache>
            </c:strRef>
          </c:tx>
          <c:spPr>
            <a:solidFill>
              <a:srgbClr val="C5E0B4"/>
            </a:solidFill>
            <a:ln>
              <a:noFill/>
            </a:ln>
            <a:effectLst/>
          </c:spPr>
          <c:invertIfNegative val="1"/>
          <c:cat>
            <c:numRef>
              <c:f>Budget_Variance_Analysis!$A$3:$A$14</c:f>
              <c:numCache>
                <c:formatCode>mmm</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Budget_Variance_Analysis!$D$3:$D$14</c:f>
              <c:numCache>
                <c:formatCode>General</c:formatCode>
                <c:ptCount val="12"/>
                <c:pt idx="0">
                  <c:v>3800</c:v>
                </c:pt>
                <c:pt idx="1">
                  <c:v>-1600</c:v>
                </c:pt>
                <c:pt idx="2">
                  <c:v>2600</c:v>
                </c:pt>
                <c:pt idx="3">
                  <c:v>-2500</c:v>
                </c:pt>
                <c:pt idx="4">
                  <c:v>2900</c:v>
                </c:pt>
                <c:pt idx="5">
                  <c:v>-1400</c:v>
                </c:pt>
                <c:pt idx="6">
                  <c:v>3000</c:v>
                </c:pt>
                <c:pt idx="7">
                  <c:v>2700</c:v>
                </c:pt>
                <c:pt idx="8">
                  <c:v>3500</c:v>
                </c:pt>
                <c:pt idx="9">
                  <c:v>-900</c:v>
                </c:pt>
                <c:pt idx="10">
                  <c:v>-1000</c:v>
                </c:pt>
                <c:pt idx="11">
                  <c:v>1300</c:v>
                </c:pt>
              </c:numCache>
            </c:numRef>
          </c:val>
          <c:extLst>
            <c:ext xmlns:c14="http://schemas.microsoft.com/office/drawing/2007/8/2/chart" uri="{6F2FDCE9-48DA-4B69-8628-5D25D57E5C99}">
              <c14:invertSolidFillFmt>
                <c14:spPr xmlns:c14="http://schemas.microsoft.com/office/drawing/2007/8/2/chart">
                  <a:solidFill>
                    <a:srgbClr val="FF7E79"/>
                  </a:solidFill>
                  <a:ln>
                    <a:noFill/>
                  </a:ln>
                  <a:effectLst/>
                </c14:spPr>
              </c14:invertSolidFillFmt>
            </c:ext>
            <c:ext xmlns:c16="http://schemas.microsoft.com/office/drawing/2014/chart" uri="{C3380CC4-5D6E-409C-BE32-E72D297353CC}">
              <c16:uniqueId val="{00000000-8E9D-0F4E-80D4-CCB2A306F76C}"/>
            </c:ext>
          </c:extLst>
        </c:ser>
        <c:dLbls>
          <c:showLegendKey val="0"/>
          <c:showVal val="0"/>
          <c:showCatName val="0"/>
          <c:showSerName val="0"/>
          <c:showPercent val="0"/>
          <c:showBubbleSize val="0"/>
        </c:dLbls>
        <c:gapWidth val="219"/>
        <c:overlap val="-27"/>
        <c:axId val="508100560"/>
        <c:axId val="508102832"/>
      </c:barChart>
      <c:lineChart>
        <c:grouping val="standard"/>
        <c:varyColors val="0"/>
        <c:ser>
          <c:idx val="1"/>
          <c:order val="1"/>
          <c:tx>
            <c:strRef>
              <c:f>Budget_Variance_Analysis!$F$2</c:f>
              <c:strCache>
                <c:ptCount val="1"/>
                <c:pt idx="0">
                  <c:v>Variance (%)</c:v>
                </c:pt>
              </c:strCache>
            </c:strRef>
          </c:tx>
          <c:spPr>
            <a:ln w="9525" cap="rnd">
              <a:solidFill>
                <a:schemeClr val="accent3">
                  <a:lumMod val="50000"/>
                </a:schemeClr>
              </a:solidFill>
              <a:round/>
            </a:ln>
            <a:effectLst/>
          </c:spPr>
          <c:marker>
            <c:symbol val="none"/>
          </c:marker>
          <c:cat>
            <c:numRef>
              <c:f>Budget_Variance_Analysis!$A$3:$A$14</c:f>
              <c:numCache>
                <c:formatCode>mmm</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Budget_Variance_Analysis!$F$3:$F$14</c:f>
              <c:numCache>
                <c:formatCode>0.00%</c:formatCode>
                <c:ptCount val="12"/>
                <c:pt idx="0">
                  <c:v>2.6600000000000002E-2</c:v>
                </c:pt>
                <c:pt idx="1">
                  <c:v>-1.1599999999999999E-2</c:v>
                </c:pt>
                <c:pt idx="2">
                  <c:v>1.8700000000000001E-2</c:v>
                </c:pt>
                <c:pt idx="3">
                  <c:v>-1.7500000000000002E-2</c:v>
                </c:pt>
                <c:pt idx="4">
                  <c:v>2.06E-2</c:v>
                </c:pt>
                <c:pt idx="5">
                  <c:v>-9.5999999999999992E-3</c:v>
                </c:pt>
                <c:pt idx="6">
                  <c:v>2.0099999999999996E-2</c:v>
                </c:pt>
                <c:pt idx="7">
                  <c:v>1.7500000000000002E-2</c:v>
                </c:pt>
                <c:pt idx="8">
                  <c:v>2.3E-2</c:v>
                </c:pt>
                <c:pt idx="9">
                  <c:v>-6.0000000000000001E-3</c:v>
                </c:pt>
                <c:pt idx="10">
                  <c:v>-6.6E-3</c:v>
                </c:pt>
                <c:pt idx="11">
                  <c:v>8.3999999999999995E-3</c:v>
                </c:pt>
              </c:numCache>
            </c:numRef>
          </c:val>
          <c:smooth val="0"/>
          <c:extLst>
            <c:ext xmlns:c16="http://schemas.microsoft.com/office/drawing/2014/chart" uri="{C3380CC4-5D6E-409C-BE32-E72D297353CC}">
              <c16:uniqueId val="{00000001-8E9D-0F4E-80D4-CCB2A306F76C}"/>
            </c:ext>
          </c:extLst>
        </c:ser>
        <c:dLbls>
          <c:showLegendKey val="0"/>
          <c:showVal val="0"/>
          <c:showCatName val="0"/>
          <c:showSerName val="0"/>
          <c:showPercent val="0"/>
          <c:showBubbleSize val="0"/>
        </c:dLbls>
        <c:marker val="1"/>
        <c:smooth val="0"/>
        <c:axId val="503752272"/>
        <c:axId val="503750000"/>
      </c:lineChart>
      <c:dateAx>
        <c:axId val="508100560"/>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Month</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mmm"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102832"/>
        <c:crosses val="autoZero"/>
        <c:auto val="1"/>
        <c:lblOffset val="100"/>
        <c:baseTimeUnit val="months"/>
      </c:dateAx>
      <c:valAx>
        <c:axId val="508102832"/>
        <c:scaling>
          <c:orientation val="minMax"/>
        </c:scaling>
        <c:delete val="0"/>
        <c:axPos val="l"/>
        <c:majorGridlines>
          <c:spPr>
            <a:ln w="9525" cap="flat" cmpd="sng" algn="ctr">
              <a:solidFill>
                <a:schemeClr val="accent3">
                  <a:lumMod val="20000"/>
                  <a:lumOff val="80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bg2">
                        <a:lumMod val="25000"/>
                      </a:schemeClr>
                    </a:solidFill>
                    <a:latin typeface="+mn-lt"/>
                    <a:ea typeface="+mn-ea"/>
                    <a:cs typeface="+mn-cs"/>
                  </a:defRPr>
                </a:pPr>
                <a:r>
                  <a:rPr lang="en-US" sz="1100">
                    <a:solidFill>
                      <a:schemeClr val="bg2">
                        <a:lumMod val="25000"/>
                      </a:schemeClr>
                    </a:solidFill>
                  </a:rPr>
                  <a:t>Variance</a:t>
                </a:r>
                <a:r>
                  <a:rPr lang="en-US" sz="1100" baseline="0">
                    <a:solidFill>
                      <a:schemeClr val="bg2">
                        <a:lumMod val="25000"/>
                      </a:schemeClr>
                    </a:solidFill>
                  </a:rPr>
                  <a:t> ($)</a:t>
                </a:r>
                <a:endParaRPr lang="en-US" sz="1100">
                  <a:solidFill>
                    <a:schemeClr val="bg2">
                      <a:lumMod val="25000"/>
                    </a:schemeClr>
                  </a:solidFill>
                </a:endParaRP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bg2">
                      <a:lumMod val="2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2">
                    <a:lumMod val="25000"/>
                  </a:schemeClr>
                </a:solidFill>
                <a:latin typeface="+mn-lt"/>
                <a:ea typeface="+mn-ea"/>
                <a:cs typeface="+mn-cs"/>
              </a:defRPr>
            </a:pPr>
            <a:endParaRPr lang="en-US"/>
          </a:p>
        </c:txPr>
        <c:crossAx val="508100560"/>
        <c:crosses val="autoZero"/>
        <c:crossBetween val="between"/>
      </c:valAx>
      <c:valAx>
        <c:axId val="503750000"/>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2">
                    <a:lumMod val="25000"/>
                  </a:schemeClr>
                </a:solidFill>
                <a:latin typeface="+mn-lt"/>
                <a:ea typeface="+mn-ea"/>
                <a:cs typeface="+mn-cs"/>
              </a:defRPr>
            </a:pPr>
            <a:endParaRPr lang="en-US"/>
          </a:p>
        </c:txPr>
        <c:crossAx val="503752272"/>
        <c:crosses val="max"/>
        <c:crossBetween val="between"/>
      </c:valAx>
      <c:dateAx>
        <c:axId val="503752272"/>
        <c:scaling>
          <c:orientation val="minMax"/>
        </c:scaling>
        <c:delete val="1"/>
        <c:axPos val="b"/>
        <c:numFmt formatCode="mmm" sourceLinked="1"/>
        <c:majorTickMark val="out"/>
        <c:minorTickMark val="none"/>
        <c:tickLblPos val="nextTo"/>
        <c:crossAx val="503750000"/>
        <c:crosses val="autoZero"/>
        <c:auto val="1"/>
        <c:lblOffset val="100"/>
        <c:baseTimeUnit val="months"/>
      </c:date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615020</xdr:colOff>
      <xdr:row>57</xdr:row>
      <xdr:rowOff>119743</xdr:rowOff>
    </xdr:from>
    <xdr:to>
      <xdr:col>21</xdr:col>
      <xdr:colOff>498906</xdr:colOff>
      <xdr:row>83</xdr:row>
      <xdr:rowOff>54428</xdr:rowOff>
    </xdr:to>
    <xdr:graphicFrame macro="">
      <xdr:nvGraphicFramePr>
        <xdr:cNvPr id="3" name="Chart 1">
          <a:extLst>
            <a:ext uri="{FF2B5EF4-FFF2-40B4-BE49-F238E27FC236}">
              <a16:creationId xmlns:a16="http://schemas.microsoft.com/office/drawing/2014/main" id="{4C7725D3-9986-EF81-865B-48525CFC5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216441</xdr:colOff>
      <xdr:row>16</xdr:row>
      <xdr:rowOff>0</xdr:rowOff>
    </xdr:from>
    <xdr:to>
      <xdr:col>11</xdr:col>
      <xdr:colOff>9612</xdr:colOff>
      <xdr:row>43</xdr:row>
      <xdr:rowOff>79829</xdr:rowOff>
    </xdr:to>
    <xdr:graphicFrame macro="">
      <xdr:nvGraphicFramePr>
        <xdr:cNvPr id="4" name="Chart 2">
          <a:extLst>
            <a:ext uri="{FF2B5EF4-FFF2-40B4-BE49-F238E27FC236}">
              <a16:creationId xmlns:a16="http://schemas.microsoft.com/office/drawing/2014/main" id="{3A453198-C1EF-26EB-53E9-DD218BAC6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524305</xdr:colOff>
      <xdr:row>16</xdr:row>
      <xdr:rowOff>0</xdr:rowOff>
    </xdr:from>
    <xdr:to>
      <xdr:col>21</xdr:col>
      <xdr:colOff>408191</xdr:colOff>
      <xdr:row>43</xdr:row>
      <xdr:rowOff>79829</xdr:rowOff>
    </xdr:to>
    <xdr:graphicFrame macro="">
      <xdr:nvGraphicFramePr>
        <xdr:cNvPr id="5" name="Chart 1">
          <a:extLst>
            <a:ext uri="{FF2B5EF4-FFF2-40B4-BE49-F238E27FC236}">
              <a16:creationId xmlns:a16="http://schemas.microsoft.com/office/drawing/2014/main" id="{1239EFAF-03DE-7DD6-A05B-02D547821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283506</xdr:colOff>
      <xdr:row>57</xdr:row>
      <xdr:rowOff>119743</xdr:rowOff>
    </xdr:from>
    <xdr:to>
      <xdr:col>11</xdr:col>
      <xdr:colOff>76677</xdr:colOff>
      <xdr:row>83</xdr:row>
      <xdr:rowOff>54428</xdr:rowOff>
    </xdr:to>
    <xdr:graphicFrame macro="">
      <xdr:nvGraphicFramePr>
        <xdr:cNvPr id="6" name="Chart 2">
          <a:extLst>
            <a:ext uri="{FF2B5EF4-FFF2-40B4-BE49-F238E27FC236}">
              <a16:creationId xmlns:a16="http://schemas.microsoft.com/office/drawing/2014/main" id="{3F8288CE-261C-4A29-76EC-EE08959ED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100025</xdr:colOff>
      <xdr:row>98</xdr:row>
      <xdr:rowOff>10886</xdr:rowOff>
    </xdr:from>
    <xdr:to>
      <xdr:col>10</xdr:col>
      <xdr:colOff>727767</xdr:colOff>
      <xdr:row>119</xdr:row>
      <xdr:rowOff>0</xdr:rowOff>
    </xdr:to>
    <xdr:graphicFrame macro="">
      <xdr:nvGraphicFramePr>
        <xdr:cNvPr id="7" name="Chart 3">
          <a:extLst>
            <a:ext uri="{FF2B5EF4-FFF2-40B4-BE49-F238E27FC236}">
              <a16:creationId xmlns:a16="http://schemas.microsoft.com/office/drawing/2014/main" id="{F705D1F2-EE2B-0324-896A-8CF1D1084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529788</xdr:colOff>
      <xdr:row>4</xdr:row>
      <xdr:rowOff>64550</xdr:rowOff>
    </xdr:from>
    <xdr:to>
      <xdr:col>10</xdr:col>
      <xdr:colOff>1074839</xdr:colOff>
      <xdr:row>16</xdr:row>
      <xdr:rowOff>210658</xdr:rowOff>
    </xdr:to>
    <mc:AlternateContent xmlns:mc="http://schemas.openxmlformats.org/markup-compatibility/2006">
      <mc:Choice xmlns:a14="http://schemas.microsoft.com/office/drawing/2010/main" Requires="a14">
        <xdr:graphicFrame macro="">
          <xdr:nvGraphicFramePr>
            <xdr:cNvPr id="2" name="month_date">
              <a:extLst>
                <a:ext uri="{FF2B5EF4-FFF2-40B4-BE49-F238E27FC236}">
                  <a16:creationId xmlns:a16="http://schemas.microsoft.com/office/drawing/2014/main" id="{09054D9F-9D3E-C5EC-C30F-BB57269F111B}"/>
                </a:ext>
              </a:extLst>
            </xdr:cNvPr>
            <xdr:cNvGraphicFramePr/>
          </xdr:nvGraphicFramePr>
          <xdr:xfrm>
            <a:off x="0" y="0"/>
            <a:ext cx="0" cy="0"/>
          </xdr:xfrm>
          <a:graphic>
            <a:graphicData uri="http://schemas.microsoft.com/office/drawing/2010/slicer">
              <sle:slicer xmlns:sle="http://schemas.microsoft.com/office/drawing/2010/slicer" name="month_date"/>
            </a:graphicData>
          </a:graphic>
        </xdr:graphicFrame>
      </mc:Choice>
      <mc:Fallback>
        <xdr:sp macro="" textlink="">
          <xdr:nvSpPr>
            <xdr:cNvPr id="0" name=""/>
            <xdr:cNvSpPr>
              <a:spLocks noTextEdit="1"/>
            </xdr:cNvSpPr>
          </xdr:nvSpPr>
          <xdr:spPr>
            <a:xfrm>
              <a:off x="10188779" y="1066568"/>
              <a:ext cx="1826702" cy="3641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rett Nelson" refreshedDate="46072.530551157404" createdVersion="8" refreshedVersion="8" minRefreshableVersion="3" recordCount="73" xr:uid="{46C430AC-22AB-0244-9F1A-012C45110217}">
  <cacheSource type="worksheet">
    <worksheetSource ref="A1:D1048576" sheet="Data_Source_SQL_Export"/>
  </cacheSource>
  <cacheFields count="5">
    <cacheField name="month_date" numFmtId="0">
      <sharedItems containsNonDate="0" containsDate="1" containsString="0" containsBlank="1" minDate="2023-01-01T00:00:00" maxDate="2023-12-02T00:00:00" count="13">
        <d v="2023-01-01T00:00:00"/>
        <d v="2023-02-01T00:00:00"/>
        <d v="2023-03-01T00:00:00"/>
        <d v="2023-04-01T00:00:00"/>
        <d v="2023-05-01T00:00:00"/>
        <d v="2023-06-01T00:00:00"/>
        <d v="2023-07-01T00:00:00"/>
        <d v="2023-08-01T00:00:00"/>
        <d v="2023-09-01T00:00:00"/>
        <d v="2023-10-01T00:00:00"/>
        <d v="2023-11-01T00:00:00"/>
        <d v="2023-12-01T00:00:00"/>
        <m/>
      </sharedItems>
      <fieldGroup par="4" base="0">
        <rangePr groupBy="days" startDate="2023-01-01T00:00:00" endDate="2023-12-02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3"/>
        </groupItems>
      </fieldGroup>
    </cacheField>
    <cacheField name="department" numFmtId="0">
      <sharedItems containsBlank="1" count="7">
        <s v="Engineering"/>
        <s v="Facilities"/>
        <s v="G&amp;A"/>
        <s v="HR"/>
        <s v="Marketing"/>
        <s v="Operations"/>
        <m/>
      </sharedItems>
    </cacheField>
    <cacheField name="category_name" numFmtId="0">
      <sharedItems containsBlank="1" count="7">
        <s v="Development Costs"/>
        <s v="Maintenance Cost"/>
        <s v="Travelling Cost"/>
        <s v="Training Cost"/>
        <s v="Marketing Costs"/>
        <s v="Operational Costs"/>
        <m/>
      </sharedItems>
    </cacheField>
    <cacheField name="amount" numFmtId="0">
      <sharedItems containsString="0" containsBlank="1" containsNumber="1" containsInteger="1" minValue="3000" maxValue="118000"/>
    </cacheField>
    <cacheField name="Months" numFmtId="0" databaseField="0">
      <fieldGroup base="0">
        <rangePr groupBy="months" startDate="2023-01-01T00:00:00" endDate="2023-12-02T00:00:00"/>
        <groupItems count="14">
          <s v="&lt;1/1/23"/>
          <s v="Jan"/>
          <s v="Feb"/>
          <s v="Mar"/>
          <s v="Apr"/>
          <s v="May"/>
          <s v="Jun"/>
          <s v="Jul"/>
          <s v="Aug"/>
          <s v="Sep"/>
          <s v="Oct"/>
          <s v="Nov"/>
          <s v="Dec"/>
          <s v="&gt;12/2/23"/>
        </groupItems>
      </fieldGroup>
    </cacheField>
  </cacheFields>
  <extLst>
    <ext xmlns:x14="http://schemas.microsoft.com/office/spreadsheetml/2009/9/main" uri="{725AE2AE-9491-48be-B2B4-4EB974FC3084}">
      <x14:pivotCacheDefinition pivotCacheId="379047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x v="0"/>
    <x v="0"/>
    <x v="0"/>
    <n v="107000"/>
  </r>
  <r>
    <x v="0"/>
    <x v="1"/>
    <x v="1"/>
    <n v="4000"/>
  </r>
  <r>
    <x v="0"/>
    <x v="2"/>
    <x v="2"/>
    <n v="4000"/>
  </r>
  <r>
    <x v="0"/>
    <x v="3"/>
    <x v="3"/>
    <n v="6000"/>
  </r>
  <r>
    <x v="0"/>
    <x v="4"/>
    <x v="4"/>
    <n v="10000"/>
  </r>
  <r>
    <x v="0"/>
    <x v="5"/>
    <x v="5"/>
    <n v="12000"/>
  </r>
  <r>
    <x v="1"/>
    <x v="0"/>
    <x v="0"/>
    <n v="107000"/>
  </r>
  <r>
    <x v="1"/>
    <x v="1"/>
    <x v="1"/>
    <n v="4000"/>
  </r>
  <r>
    <x v="1"/>
    <x v="2"/>
    <x v="2"/>
    <n v="4000"/>
  </r>
  <r>
    <x v="1"/>
    <x v="3"/>
    <x v="3"/>
    <n v="6000"/>
  </r>
  <r>
    <x v="1"/>
    <x v="4"/>
    <x v="4"/>
    <n v="5000"/>
  </r>
  <r>
    <x v="1"/>
    <x v="5"/>
    <x v="5"/>
    <n v="12000"/>
  </r>
  <r>
    <x v="2"/>
    <x v="0"/>
    <x v="0"/>
    <n v="108000"/>
  </r>
  <r>
    <x v="2"/>
    <x v="1"/>
    <x v="1"/>
    <n v="4000"/>
  </r>
  <r>
    <x v="2"/>
    <x v="2"/>
    <x v="2"/>
    <n v="4000"/>
  </r>
  <r>
    <x v="2"/>
    <x v="3"/>
    <x v="3"/>
    <n v="6000"/>
  </r>
  <r>
    <x v="2"/>
    <x v="4"/>
    <x v="4"/>
    <n v="5000"/>
  </r>
  <r>
    <x v="2"/>
    <x v="5"/>
    <x v="5"/>
    <n v="12000"/>
  </r>
  <r>
    <x v="3"/>
    <x v="0"/>
    <x v="0"/>
    <n v="107000"/>
  </r>
  <r>
    <x v="3"/>
    <x v="1"/>
    <x v="1"/>
    <n v="4000"/>
  </r>
  <r>
    <x v="3"/>
    <x v="2"/>
    <x v="2"/>
    <n v="4000"/>
  </r>
  <r>
    <x v="3"/>
    <x v="3"/>
    <x v="3"/>
    <n v="6000"/>
  </r>
  <r>
    <x v="3"/>
    <x v="4"/>
    <x v="4"/>
    <n v="10000"/>
  </r>
  <r>
    <x v="3"/>
    <x v="5"/>
    <x v="5"/>
    <n v="12000"/>
  </r>
  <r>
    <x v="4"/>
    <x v="0"/>
    <x v="0"/>
    <n v="111100"/>
  </r>
  <r>
    <x v="4"/>
    <x v="1"/>
    <x v="1"/>
    <n v="4000"/>
  </r>
  <r>
    <x v="4"/>
    <x v="2"/>
    <x v="2"/>
    <n v="4000"/>
  </r>
  <r>
    <x v="4"/>
    <x v="3"/>
    <x v="3"/>
    <n v="6000"/>
  </r>
  <r>
    <x v="4"/>
    <x v="4"/>
    <x v="4"/>
    <n v="4000"/>
  </r>
  <r>
    <x v="4"/>
    <x v="5"/>
    <x v="5"/>
    <n v="12000"/>
  </r>
  <r>
    <x v="5"/>
    <x v="0"/>
    <x v="0"/>
    <n v="111100"/>
  </r>
  <r>
    <x v="5"/>
    <x v="1"/>
    <x v="1"/>
    <n v="4000"/>
  </r>
  <r>
    <x v="5"/>
    <x v="2"/>
    <x v="2"/>
    <n v="4000"/>
  </r>
  <r>
    <x v="5"/>
    <x v="3"/>
    <x v="3"/>
    <n v="8000"/>
  </r>
  <r>
    <x v="5"/>
    <x v="4"/>
    <x v="4"/>
    <n v="4000"/>
  </r>
  <r>
    <x v="5"/>
    <x v="5"/>
    <x v="5"/>
    <n v="15000"/>
  </r>
  <r>
    <x v="6"/>
    <x v="0"/>
    <x v="0"/>
    <n v="110000"/>
  </r>
  <r>
    <x v="6"/>
    <x v="1"/>
    <x v="1"/>
    <n v="4000"/>
  </r>
  <r>
    <x v="6"/>
    <x v="2"/>
    <x v="2"/>
    <n v="4000"/>
  </r>
  <r>
    <x v="6"/>
    <x v="3"/>
    <x v="3"/>
    <n v="8000"/>
  </r>
  <r>
    <x v="6"/>
    <x v="4"/>
    <x v="4"/>
    <n v="8000"/>
  </r>
  <r>
    <x v="6"/>
    <x v="5"/>
    <x v="5"/>
    <n v="15000"/>
  </r>
  <r>
    <x v="7"/>
    <x v="0"/>
    <x v="0"/>
    <n v="117000"/>
  </r>
  <r>
    <x v="7"/>
    <x v="1"/>
    <x v="1"/>
    <n v="4000"/>
  </r>
  <r>
    <x v="7"/>
    <x v="2"/>
    <x v="2"/>
    <n v="4000"/>
  </r>
  <r>
    <x v="7"/>
    <x v="3"/>
    <x v="3"/>
    <n v="8000"/>
  </r>
  <r>
    <x v="7"/>
    <x v="4"/>
    <x v="4"/>
    <n v="6000"/>
  </r>
  <r>
    <x v="7"/>
    <x v="5"/>
    <x v="5"/>
    <n v="15000"/>
  </r>
  <r>
    <x v="8"/>
    <x v="0"/>
    <x v="0"/>
    <n v="118000"/>
  </r>
  <r>
    <x v="8"/>
    <x v="1"/>
    <x v="1"/>
    <n v="4000"/>
  </r>
  <r>
    <x v="8"/>
    <x v="2"/>
    <x v="2"/>
    <n v="4000"/>
  </r>
  <r>
    <x v="8"/>
    <x v="3"/>
    <x v="3"/>
    <n v="8000"/>
  </r>
  <r>
    <x v="8"/>
    <x v="4"/>
    <x v="4"/>
    <n v="3000"/>
  </r>
  <r>
    <x v="8"/>
    <x v="5"/>
    <x v="5"/>
    <n v="15000"/>
  </r>
  <r>
    <x v="9"/>
    <x v="0"/>
    <x v="0"/>
    <n v="110000"/>
  </r>
  <r>
    <x v="9"/>
    <x v="1"/>
    <x v="1"/>
    <n v="4000"/>
  </r>
  <r>
    <x v="9"/>
    <x v="2"/>
    <x v="2"/>
    <n v="4000"/>
  </r>
  <r>
    <x v="9"/>
    <x v="3"/>
    <x v="3"/>
    <n v="8000"/>
  </r>
  <r>
    <x v="9"/>
    <x v="4"/>
    <x v="4"/>
    <n v="10000"/>
  </r>
  <r>
    <x v="9"/>
    <x v="5"/>
    <x v="5"/>
    <n v="15000"/>
  </r>
  <r>
    <x v="10"/>
    <x v="0"/>
    <x v="0"/>
    <n v="117000"/>
  </r>
  <r>
    <x v="10"/>
    <x v="1"/>
    <x v="1"/>
    <n v="4000"/>
  </r>
  <r>
    <x v="10"/>
    <x v="2"/>
    <x v="2"/>
    <n v="4000"/>
  </r>
  <r>
    <x v="10"/>
    <x v="3"/>
    <x v="3"/>
    <n v="8000"/>
  </r>
  <r>
    <x v="10"/>
    <x v="4"/>
    <x v="4"/>
    <n v="3000"/>
  </r>
  <r>
    <x v="10"/>
    <x v="5"/>
    <x v="5"/>
    <n v="15000"/>
  </r>
  <r>
    <x v="11"/>
    <x v="0"/>
    <x v="0"/>
    <n v="117000"/>
  </r>
  <r>
    <x v="11"/>
    <x v="1"/>
    <x v="1"/>
    <n v="4000"/>
  </r>
  <r>
    <x v="11"/>
    <x v="2"/>
    <x v="2"/>
    <n v="4000"/>
  </r>
  <r>
    <x v="11"/>
    <x v="3"/>
    <x v="3"/>
    <n v="8000"/>
  </r>
  <r>
    <x v="11"/>
    <x v="4"/>
    <x v="4"/>
    <n v="7000"/>
  </r>
  <r>
    <x v="11"/>
    <x v="5"/>
    <x v="5"/>
    <n v="15000"/>
  </r>
  <r>
    <x v="12"/>
    <x v="6"/>
    <x v="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ED1094-797C-E94C-A426-96E58ECF715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5">
    <pivotField showAll="0"/>
    <pivotField axis="axisRow" showAll="0">
      <items count="8">
        <item x="0"/>
        <item x="1"/>
        <item x="2"/>
        <item x="3"/>
        <item x="4"/>
        <item x="5"/>
        <item h="1" x="6"/>
        <item t="default"/>
      </items>
    </pivotField>
    <pivotField showAll="0"/>
    <pivotField dataField="1" showAll="0"/>
    <pivotField showAll="0" defaultSubtotal="0"/>
  </pivotFields>
  <rowFields count="1">
    <field x="1"/>
  </rowFields>
  <rowItems count="7">
    <i>
      <x/>
    </i>
    <i>
      <x v="1"/>
    </i>
    <i>
      <x v="2"/>
    </i>
    <i>
      <x v="3"/>
    </i>
    <i>
      <x v="4"/>
    </i>
    <i>
      <x v="5"/>
    </i>
    <i t="grand">
      <x/>
    </i>
  </rowItems>
  <colItems count="1">
    <i/>
  </colItems>
  <dataFields count="1">
    <dataField name="Sum of amount" fld="3" showDataAs="percentOfTotal" baseField="0" baseItem="0" numFmtId="10"/>
  </dataFields>
  <formats count="3">
    <format dxfId="26">
      <pivotArea collapsedLevelsAreSubtotals="1" fieldPosition="0">
        <references count="1">
          <reference field="1" count="0"/>
        </references>
      </pivotArea>
    </format>
    <format dxfId="25">
      <pivotArea grandRow="1" outline="0" collapsedLevelsAreSubtotals="1" fieldPosition="0"/>
    </format>
    <format dxfId="24">
      <pivotArea outline="0" collapsedLevelsAreSubtotals="1" fieldPosition="0"/>
    </format>
  </formats>
  <chartFormats count="7">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1" format="7">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D28B87-0964-6A4B-9FFC-19D916C6F7D3}"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I18" firstHeaderRow="1" firstDataRow="2" firstDataCol="1"/>
  <pivotFields count="5">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8">
        <item x="0"/>
        <item x="1"/>
        <item x="2"/>
        <item x="3"/>
        <item x="4"/>
        <item x="5"/>
        <item x="6"/>
        <item t="default"/>
      </items>
    </pivotField>
    <pivotField showAll="0">
      <items count="8">
        <item x="0"/>
        <item x="1"/>
        <item x="4"/>
        <item x="5"/>
        <item x="3"/>
        <item x="2"/>
        <item x="6"/>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4">
    <i>
      <x/>
    </i>
    <i>
      <x v="1"/>
    </i>
    <i>
      <x v="32"/>
    </i>
    <i>
      <x v="61"/>
    </i>
    <i>
      <x v="92"/>
    </i>
    <i>
      <x v="122"/>
    </i>
    <i>
      <x v="153"/>
    </i>
    <i>
      <x v="183"/>
    </i>
    <i>
      <x v="214"/>
    </i>
    <i>
      <x v="245"/>
    </i>
    <i>
      <x v="275"/>
    </i>
    <i>
      <x v="306"/>
    </i>
    <i>
      <x v="336"/>
    </i>
    <i t="grand">
      <x/>
    </i>
  </rowItems>
  <colFields count="1">
    <field x="1"/>
  </colFields>
  <colItems count="8">
    <i>
      <x/>
    </i>
    <i>
      <x v="1"/>
    </i>
    <i>
      <x v="2"/>
    </i>
    <i>
      <x v="3"/>
    </i>
    <i>
      <x v="4"/>
    </i>
    <i>
      <x v="5"/>
    </i>
    <i>
      <x v="6"/>
    </i>
    <i t="grand">
      <x/>
    </i>
  </colItems>
  <dataFields count="1">
    <dataField name="Sum of amount" fld="3" baseField="0" baseItem="0" numFmtId="164"/>
  </dataFields>
  <formats count="11">
    <format dxfId="10">
      <pivotArea type="all" dataOnly="0" outline="0" fieldPosition="0"/>
    </format>
    <format dxfId="11">
      <pivotArea outline="0" collapsedLevelsAreSubtotals="1" fieldPosition="0"/>
    </format>
    <format dxfId="12">
      <pivotArea type="origin" dataOnly="0" labelOnly="1" outline="0" fieldPosition="0"/>
    </format>
    <format dxfId="13">
      <pivotArea field="1" type="button" dataOnly="0" labelOnly="1" outline="0" axis="axisCol" fieldPosition="0"/>
    </format>
    <format dxfId="14">
      <pivotArea type="topRight" dataOnly="0" labelOnly="1" outline="0" fieldPosition="0"/>
    </format>
    <format dxfId="15">
      <pivotArea field="0" type="button" dataOnly="0" labelOnly="1" outline="0" axis="axisRow" fieldPosition="0"/>
    </format>
    <format dxfId="16">
      <pivotArea dataOnly="0" labelOnly="1" fieldPosition="0">
        <references count="1">
          <reference field="0" count="13">
            <x v="0"/>
            <x v="1"/>
            <x v="32"/>
            <x v="61"/>
            <x v="92"/>
            <x v="122"/>
            <x v="153"/>
            <x v="183"/>
            <x v="214"/>
            <x v="245"/>
            <x v="275"/>
            <x v="306"/>
            <x v="336"/>
          </reference>
        </references>
      </pivotArea>
    </format>
    <format dxfId="17">
      <pivotArea dataOnly="0" labelOnly="1" grandRow="1" outline="0" fieldPosition="0"/>
    </format>
    <format dxfId="18">
      <pivotArea dataOnly="0" labelOnly="1" fieldPosition="0">
        <references count="1">
          <reference field="1" count="0"/>
        </references>
      </pivotArea>
    </format>
    <format dxfId="19">
      <pivotArea dataOnly="0" labelOnly="1" grandCol="1" outline="0" fieldPosition="0"/>
    </format>
    <format dxfId="20">
      <pivotArea dataOnly="0" fieldPosition="0">
        <references count="1">
          <reference field="0" count="13">
            <x v="0"/>
            <x v="1"/>
            <x v="32"/>
            <x v="61"/>
            <x v="92"/>
            <x v="122"/>
            <x v="153"/>
            <x v="183"/>
            <x v="214"/>
            <x v="245"/>
            <x v="275"/>
            <x v="306"/>
            <x v="33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437696F-162F-ED47-AF24-7AEA75BF6E75}" autoFormatId="16" applyNumberFormats="0" applyBorderFormats="0" applyFontFormats="0" applyPatternFormats="0" applyAlignmentFormats="0" applyWidthHeightFormats="0">
  <queryTableRefresh nextId="5">
    <queryTableFields count="4">
      <queryTableField id="1" name="month_date" tableColumnId="1"/>
      <queryTableField id="2" name="department" tableColumnId="2"/>
      <queryTableField id="3" name="category_name" tableColumnId="3"/>
      <queryTableField id="4" name="amoun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30FFCE1B-713F-1D49-A44E-68650FDE53AE}" autoFormatId="16" applyNumberFormats="0" applyBorderFormats="0" applyFontFormats="0" applyPatternFormats="0" applyAlignmentFormats="0" applyWidthHeightFormats="0">
  <queryTableRefresh nextId="5">
    <queryTableFields count="4">
      <queryTableField id="1" name="month_date" tableColumnId="1"/>
      <queryTableField id="2" name="department" tableColumnId="2"/>
      <queryTableField id="3" name="category_name" tableColumnId="3"/>
      <queryTableField id="4" name="amount"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47A5C881-4A6C-0143-BA3E-A0A481987140}" autoFormatId="16" applyNumberFormats="0" applyBorderFormats="0" applyFontFormats="0" applyPatternFormats="0" applyAlignmentFormats="0" applyWidthHeightFormats="0">
  <queryTableRefresh nextId="9" unboundColumnsRight="1">
    <queryTableFields count="6">
      <queryTableField id="1" name="month_date" tableColumnId="1"/>
      <queryTableField id="2" name="budget_spend" tableColumnId="2"/>
      <queryTableField id="3" name="actual_spend" tableColumnId="3"/>
      <queryTableField id="4" name="variance_dollar" tableColumnId="4"/>
      <queryTableField id="5" name="variance_percent" tableColumnId="5"/>
      <queryTableField id="7" dataBound="0"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901E0F64-420C-3C47-AFDC-AE1325C7517D}" autoFormatId="16" applyNumberFormats="0" applyBorderFormats="0" applyFontFormats="0" applyPatternFormats="0" applyAlignmentFormats="0" applyWidthHeightFormats="0">
  <queryTableRefresh nextId="4">
    <queryTableFields count="3">
      <queryTableField id="1" name="month_date" tableColumnId="1"/>
      <queryTableField id="2" name="total_spend" tableColumnId="2"/>
      <queryTableField id="3" name="rolling_3_month_avg"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1CC65B06-3843-894A-83B0-2F49BE37DE99}" autoFormatId="16" applyNumberFormats="0" applyBorderFormats="0" applyFontFormats="0" applyPatternFormats="0" applyAlignmentFormats="0" applyWidthHeightFormats="0">
  <queryTableRefresh nextId="4">
    <queryTableFields count="3">
      <queryTableField id="1" name="month_date" tableColumnId="1"/>
      <queryTableField id="2" name="total_spend" tableColumnId="2"/>
      <queryTableField id="3" name="mom_growth_pct"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DAD2FAAB-8704-3645-8948-F125BCE5CA52}" autoFormatId="16" applyNumberFormats="0" applyBorderFormats="0" applyFontFormats="0" applyPatternFormats="0" applyAlignmentFormats="0" applyWidthHeightFormats="0">
  <queryTableRefresh nextId="4">
    <queryTableFields count="2">
      <queryTableField id="1" name="department" tableColumnId="1"/>
      <queryTableField id="2" name="spend_volatility"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date" xr10:uid="{6C1B8B95-74AA-3B40-8A98-DB15A0A52415}" sourceName="month_date">
  <pivotTables>
    <pivotTable tabId="3" name="PivotTable1"/>
  </pivotTables>
  <data>
    <tabular pivotCacheId="379047818">
      <items count="368">
        <i x="92" s="1"/>
        <i x="214" s="1"/>
        <i x="336" s="1"/>
        <i x="32" s="1"/>
        <i x="1" s="1"/>
        <i x="183" s="1"/>
        <i x="153" s="1"/>
        <i x="61" s="1"/>
        <i x="122" s="1"/>
        <i x="306" s="1"/>
        <i x="275" s="1"/>
        <i x="245" s="1"/>
        <i x="0" s="1" nd="1"/>
        <i x="367" s="1" nd="1"/>
        <i x="101" s="1" nd="1"/>
        <i x="223" s="1" nd="1"/>
        <i x="345" s="1" nd="1"/>
        <i x="41" s="1" nd="1"/>
        <i x="10" s="1" nd="1"/>
        <i x="192" s="1" nd="1"/>
        <i x="162" s="1" nd="1"/>
        <i x="70" s="1" nd="1"/>
        <i x="131" s="1" nd="1"/>
        <i x="315" s="1" nd="1"/>
        <i x="284" s="1" nd="1"/>
        <i x="254" s="1" nd="1"/>
        <i x="102" s="1" nd="1"/>
        <i x="224" s="1" nd="1"/>
        <i x="346" s="1" nd="1"/>
        <i x="42" s="1" nd="1"/>
        <i x="11" s="1" nd="1"/>
        <i x="193" s="1" nd="1"/>
        <i x="163" s="1" nd="1"/>
        <i x="71" s="1" nd="1"/>
        <i x="132" s="1" nd="1"/>
        <i x="316" s="1" nd="1"/>
        <i x="285" s="1" nd="1"/>
        <i x="255" s="1" nd="1"/>
        <i x="103" s="1" nd="1"/>
        <i x="225" s="1" nd="1"/>
        <i x="347" s="1" nd="1"/>
        <i x="43" s="1" nd="1"/>
        <i x="12" s="1" nd="1"/>
        <i x="194" s="1" nd="1"/>
        <i x="164" s="1" nd="1"/>
        <i x="72" s="1" nd="1"/>
        <i x="133" s="1" nd="1"/>
        <i x="317" s="1" nd="1"/>
        <i x="286" s="1" nd="1"/>
        <i x="256" s="1" nd="1"/>
        <i x="104" s="1" nd="1"/>
        <i x="226" s="1" nd="1"/>
        <i x="348" s="1" nd="1"/>
        <i x="44" s="1" nd="1"/>
        <i x="13" s="1" nd="1"/>
        <i x="195" s="1" nd="1"/>
        <i x="165" s="1" nd="1"/>
        <i x="73" s="1" nd="1"/>
        <i x="134" s="1" nd="1"/>
        <i x="318" s="1" nd="1"/>
        <i x="287" s="1" nd="1"/>
        <i x="257" s="1" nd="1"/>
        <i x="105" s="1" nd="1"/>
        <i x="227" s="1" nd="1"/>
        <i x="349" s="1" nd="1"/>
        <i x="45" s="1" nd="1"/>
        <i x="14" s="1" nd="1"/>
        <i x="196" s="1" nd="1"/>
        <i x="166" s="1" nd="1"/>
        <i x="74" s="1" nd="1"/>
        <i x="135" s="1" nd="1"/>
        <i x="319" s="1" nd="1"/>
        <i x="288" s="1" nd="1"/>
        <i x="258" s="1" nd="1"/>
        <i x="106" s="1" nd="1"/>
        <i x="228" s="1" nd="1"/>
        <i x="350" s="1" nd="1"/>
        <i x="46" s="1" nd="1"/>
        <i x="15" s="1" nd="1"/>
        <i x="197" s="1" nd="1"/>
        <i x="167" s="1" nd="1"/>
        <i x="75" s="1" nd="1"/>
        <i x="136" s="1" nd="1"/>
        <i x="320" s="1" nd="1"/>
        <i x="289" s="1" nd="1"/>
        <i x="259" s="1" nd="1"/>
        <i x="107" s="1" nd="1"/>
        <i x="229" s="1" nd="1"/>
        <i x="351" s="1" nd="1"/>
        <i x="47" s="1" nd="1"/>
        <i x="16" s="1" nd="1"/>
        <i x="198" s="1" nd="1"/>
        <i x="168" s="1" nd="1"/>
        <i x="76" s="1" nd="1"/>
        <i x="137" s="1" nd="1"/>
        <i x="321" s="1" nd="1"/>
        <i x="290" s="1" nd="1"/>
        <i x="260" s="1" nd="1"/>
        <i x="108" s="1" nd="1"/>
        <i x="230" s="1" nd="1"/>
        <i x="352" s="1" nd="1"/>
        <i x="48" s="1" nd="1"/>
        <i x="17" s="1" nd="1"/>
        <i x="199" s="1" nd="1"/>
        <i x="169" s="1" nd="1"/>
        <i x="77" s="1" nd="1"/>
        <i x="138" s="1" nd="1"/>
        <i x="322" s="1" nd="1"/>
        <i x="291" s="1" nd="1"/>
        <i x="261" s="1" nd="1"/>
        <i x="109" s="1" nd="1"/>
        <i x="231" s="1" nd="1"/>
        <i x="353" s="1" nd="1"/>
        <i x="49" s="1" nd="1"/>
        <i x="18" s="1" nd="1"/>
        <i x="200" s="1" nd="1"/>
        <i x="170" s="1" nd="1"/>
        <i x="78" s="1" nd="1"/>
        <i x="139" s="1" nd="1"/>
        <i x="323" s="1" nd="1"/>
        <i x="292" s="1" nd="1"/>
        <i x="262" s="1" nd="1"/>
        <i x="110" s="1" nd="1"/>
        <i x="232" s="1" nd="1"/>
        <i x="354" s="1" nd="1"/>
        <i x="50" s="1" nd="1"/>
        <i x="19" s="1" nd="1"/>
        <i x="201" s="1" nd="1"/>
        <i x="171" s="1" nd="1"/>
        <i x="79" s="1" nd="1"/>
        <i x="140" s="1" nd="1"/>
        <i x="324" s="1" nd="1"/>
        <i x="293" s="1" nd="1"/>
        <i x="263" s="1" nd="1"/>
        <i x="93" s="1" nd="1"/>
        <i x="215" s="1" nd="1"/>
        <i x="337" s="1" nd="1"/>
        <i x="33" s="1" nd="1"/>
        <i x="2" s="1" nd="1"/>
        <i x="184" s="1" nd="1"/>
        <i x="154" s="1" nd="1"/>
        <i x="62" s="1" nd="1"/>
        <i x="123" s="1" nd="1"/>
        <i x="307" s="1" nd="1"/>
        <i x="276" s="1" nd="1"/>
        <i x="246" s="1" nd="1"/>
        <i x="111" s="1" nd="1"/>
        <i x="233" s="1" nd="1"/>
        <i x="355" s="1" nd="1"/>
        <i x="51" s="1" nd="1"/>
        <i x="20" s="1" nd="1"/>
        <i x="202" s="1" nd="1"/>
        <i x="172" s="1" nd="1"/>
        <i x="80" s="1" nd="1"/>
        <i x="141" s="1" nd="1"/>
        <i x="325" s="1" nd="1"/>
        <i x="294" s="1" nd="1"/>
        <i x="264" s="1" nd="1"/>
        <i x="112" s="1" nd="1"/>
        <i x="234" s="1" nd="1"/>
        <i x="356" s="1" nd="1"/>
        <i x="52" s="1" nd="1"/>
        <i x="21" s="1" nd="1"/>
        <i x="203" s="1" nd="1"/>
        <i x="173" s="1" nd="1"/>
        <i x="81" s="1" nd="1"/>
        <i x="142" s="1" nd="1"/>
        <i x="326" s="1" nd="1"/>
        <i x="295" s="1" nd="1"/>
        <i x="265" s="1" nd="1"/>
        <i x="113" s="1" nd="1"/>
        <i x="235" s="1" nd="1"/>
        <i x="357" s="1" nd="1"/>
        <i x="53" s="1" nd="1"/>
        <i x="22" s="1" nd="1"/>
        <i x="204" s="1" nd="1"/>
        <i x="174" s="1" nd="1"/>
        <i x="82" s="1" nd="1"/>
        <i x="143" s="1" nd="1"/>
        <i x="327" s="1" nd="1"/>
        <i x="296" s="1" nd="1"/>
        <i x="266" s="1" nd="1"/>
        <i x="114" s="1" nd="1"/>
        <i x="236" s="1" nd="1"/>
        <i x="358" s="1" nd="1"/>
        <i x="54" s="1" nd="1"/>
        <i x="23" s="1" nd="1"/>
        <i x="205" s="1" nd="1"/>
        <i x="175" s="1" nd="1"/>
        <i x="83" s="1" nd="1"/>
        <i x="144" s="1" nd="1"/>
        <i x="328" s="1" nd="1"/>
        <i x="297" s="1" nd="1"/>
        <i x="267" s="1" nd="1"/>
        <i x="115" s="1" nd="1"/>
        <i x="237" s="1" nd="1"/>
        <i x="359" s="1" nd="1"/>
        <i x="55" s="1" nd="1"/>
        <i x="24" s="1" nd="1"/>
        <i x="206" s="1" nd="1"/>
        <i x="176" s="1" nd="1"/>
        <i x="84" s="1" nd="1"/>
        <i x="145" s="1" nd="1"/>
        <i x="329" s="1" nd="1"/>
        <i x="298" s="1" nd="1"/>
        <i x="268" s="1" nd="1"/>
        <i x="116" s="1" nd="1"/>
        <i x="238" s="1" nd="1"/>
        <i x="360" s="1" nd="1"/>
        <i x="56" s="1" nd="1"/>
        <i x="25" s="1" nd="1"/>
        <i x="207" s="1" nd="1"/>
        <i x="177" s="1" nd="1"/>
        <i x="85" s="1" nd="1"/>
        <i x="146" s="1" nd="1"/>
        <i x="330" s="1" nd="1"/>
        <i x="299" s="1" nd="1"/>
        <i x="269" s="1" nd="1"/>
        <i x="117" s="1" nd="1"/>
        <i x="239" s="1" nd="1"/>
        <i x="361" s="1" nd="1"/>
        <i x="57" s="1" nd="1"/>
        <i x="26" s="1" nd="1"/>
        <i x="208" s="1" nd="1"/>
        <i x="178" s="1" nd="1"/>
        <i x="86" s="1" nd="1"/>
        <i x="147" s="1" nd="1"/>
        <i x="331" s="1" nd="1"/>
        <i x="300" s="1" nd="1"/>
        <i x="270" s="1" nd="1"/>
        <i x="118" s="1" nd="1"/>
        <i x="240" s="1" nd="1"/>
        <i x="362" s="1" nd="1"/>
        <i x="58" s="1" nd="1"/>
        <i x="27" s="1" nd="1"/>
        <i x="209" s="1" nd="1"/>
        <i x="179" s="1" nd="1"/>
        <i x="87" s="1" nd="1"/>
        <i x="148" s="1" nd="1"/>
        <i x="332" s="1" nd="1"/>
        <i x="301" s="1" nd="1"/>
        <i x="271" s="1" nd="1"/>
        <i x="119" s="1" nd="1"/>
        <i x="241" s="1" nd="1"/>
        <i x="363" s="1" nd="1"/>
        <i x="59" s="1" nd="1"/>
        <i x="28" s="1" nd="1"/>
        <i x="210" s="1" nd="1"/>
        <i x="180" s="1" nd="1"/>
        <i x="88" s="1" nd="1"/>
        <i x="149" s="1" nd="1"/>
        <i x="333" s="1" nd="1"/>
        <i x="302" s="1" nd="1"/>
        <i x="272" s="1" nd="1"/>
        <i x="120" s="1" nd="1"/>
        <i x="242" s="1" nd="1"/>
        <i x="364" s="1" nd="1"/>
        <i x="60" s="1" nd="1"/>
        <i x="29" s="1" nd="1"/>
        <i x="211" s="1" nd="1"/>
        <i x="181" s="1" nd="1"/>
        <i x="89" s="1" nd="1"/>
        <i x="150" s="1" nd="1"/>
        <i x="334" s="1" nd="1"/>
        <i x="303" s="1" nd="1"/>
        <i x="273" s="1" nd="1"/>
        <i x="94" s="1" nd="1"/>
        <i x="216" s="1" nd="1"/>
        <i x="338" s="1" nd="1"/>
        <i x="34" s="1" nd="1"/>
        <i x="3" s="1" nd="1"/>
        <i x="185" s="1" nd="1"/>
        <i x="155" s="1" nd="1"/>
        <i x="63" s="1" nd="1"/>
        <i x="124" s="1" nd="1"/>
        <i x="308" s="1" nd="1"/>
        <i x="277" s="1" nd="1"/>
        <i x="247" s="1" nd="1"/>
        <i x="121" s="1" nd="1"/>
        <i x="243" s="1" nd="1"/>
        <i x="365" s="1" nd="1"/>
        <i x="30" s="1" nd="1"/>
        <i x="212" s="1" nd="1"/>
        <i x="182" s="1" nd="1"/>
        <i x="90" s="1" nd="1"/>
        <i x="151" s="1" nd="1"/>
        <i x="335" s="1" nd="1"/>
        <i x="304" s="1" nd="1"/>
        <i x="274" s="1" nd="1"/>
        <i x="244" s="1" nd="1"/>
        <i x="366" s="1" nd="1"/>
        <i x="31" s="1" nd="1"/>
        <i x="213" s="1" nd="1"/>
        <i x="91" s="1" nd="1"/>
        <i x="152" s="1" nd="1"/>
        <i x="305" s="1" nd="1"/>
        <i x="95" s="1" nd="1"/>
        <i x="217" s="1" nd="1"/>
        <i x="339" s="1" nd="1"/>
        <i x="35" s="1" nd="1"/>
        <i x="4" s="1" nd="1"/>
        <i x="186" s="1" nd="1"/>
        <i x="156" s="1" nd="1"/>
        <i x="64" s="1" nd="1"/>
        <i x="125" s="1" nd="1"/>
        <i x="309" s="1" nd="1"/>
        <i x="278" s="1" nd="1"/>
        <i x="248" s="1" nd="1"/>
        <i x="96" s="1" nd="1"/>
        <i x="218" s="1" nd="1"/>
        <i x="340" s="1" nd="1"/>
        <i x="36" s="1" nd="1"/>
        <i x="5" s="1" nd="1"/>
        <i x="187" s="1" nd="1"/>
        <i x="157" s="1" nd="1"/>
        <i x="65" s="1" nd="1"/>
        <i x="126" s="1" nd="1"/>
        <i x="310" s="1" nd="1"/>
        <i x="279" s="1" nd="1"/>
        <i x="249" s="1" nd="1"/>
        <i x="97" s="1" nd="1"/>
        <i x="219" s="1" nd="1"/>
        <i x="341" s="1" nd="1"/>
        <i x="37" s="1" nd="1"/>
        <i x="6" s="1" nd="1"/>
        <i x="188" s="1" nd="1"/>
        <i x="158" s="1" nd="1"/>
        <i x="66" s="1" nd="1"/>
        <i x="127" s="1" nd="1"/>
        <i x="311" s="1" nd="1"/>
        <i x="280" s="1" nd="1"/>
        <i x="250" s="1" nd="1"/>
        <i x="98" s="1" nd="1"/>
        <i x="220" s="1" nd="1"/>
        <i x="342" s="1" nd="1"/>
        <i x="38" s="1" nd="1"/>
        <i x="7" s="1" nd="1"/>
        <i x="189" s="1" nd="1"/>
        <i x="159" s="1" nd="1"/>
        <i x="67" s="1" nd="1"/>
        <i x="128" s="1" nd="1"/>
        <i x="312" s="1" nd="1"/>
        <i x="281" s="1" nd="1"/>
        <i x="251" s="1" nd="1"/>
        <i x="99" s="1" nd="1"/>
        <i x="221" s="1" nd="1"/>
        <i x="343" s="1" nd="1"/>
        <i x="39" s="1" nd="1"/>
        <i x="8" s="1" nd="1"/>
        <i x="190" s="1" nd="1"/>
        <i x="160" s="1" nd="1"/>
        <i x="68" s="1" nd="1"/>
        <i x="129" s="1" nd="1"/>
        <i x="313" s="1" nd="1"/>
        <i x="282" s="1" nd="1"/>
        <i x="252" s="1" nd="1"/>
        <i x="100" s="1" nd="1"/>
        <i x="222" s="1" nd="1"/>
        <i x="344" s="1" nd="1"/>
        <i x="40" s="1" nd="1"/>
        <i x="9" s="1" nd="1"/>
        <i x="191" s="1" nd="1"/>
        <i x="161" s="1" nd="1"/>
        <i x="69" s="1" nd="1"/>
        <i x="130" s="1" nd="1"/>
        <i x="314" s="1" nd="1"/>
        <i x="283" s="1" nd="1"/>
        <i x="25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date" xr10:uid="{B4344AB1-393A-5B48-8719-0407399D1CC7}" cache="Slicer_month_date" caption="month_dat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5CCC7E-EA08-1341-BC1E-0259C7E1979B}" name="budget_export_long" displayName="budget_export_long" ref="A2:D74" tableType="queryTable" totalsRowShown="0">
  <autoFilter ref="A2:D74" xr:uid="{BE5CCC7E-EA08-1341-BC1E-0259C7E1979B}"/>
  <tableColumns count="4">
    <tableColumn id="1" xr3:uid="{32FC7C77-16D6-A047-A17A-DA4FFE87E889}" uniqueName="1" name="Month Date" queryTableFieldId="1" dataDxfId="23"/>
    <tableColumn id="2" xr3:uid="{36A605D8-240E-A24A-9184-F0E377FE195F}" uniqueName="2" name="Department" queryTableFieldId="2" dataDxfId="22"/>
    <tableColumn id="3" xr3:uid="{EA059318-F445-854E-B488-97D407354AB0}" uniqueName="3" name="Category Name" queryTableFieldId="3" dataDxfId="21"/>
    <tableColumn id="4" xr3:uid="{3152B331-9C23-FB49-A5BC-BCA378FB04EA}" uniqueName="4" name="Budget Amount"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7FBB7D-62F7-1545-9FF6-B76C595744C4}" name="budget_export_long6" displayName="budget_export_long6" ref="F2:I75" tableType="queryTable" totalsRowShown="0">
  <autoFilter ref="F2:I75" xr:uid="{F97FBB7D-62F7-1545-9FF6-B76C595744C4}"/>
  <tableColumns count="4">
    <tableColumn id="1" xr3:uid="{B79C429F-C440-D04F-A5E9-5B77A77A223B}" uniqueName="1" name="Month Date" queryTableFieldId="1" dataDxfId="4"/>
    <tableColumn id="2" xr3:uid="{B2EDBD08-7E32-A743-B504-682D3BA745F8}" uniqueName="2" name="Department" queryTableFieldId="2" dataDxfId="3"/>
    <tableColumn id="3" xr3:uid="{594B69EC-B21B-5247-BAB5-4BEEB0D469E9}" uniqueName="3" name="Category Name" queryTableFieldId="3" dataDxfId="2"/>
    <tableColumn id="4" xr3:uid="{B5BC0E03-760E-B14C-9664-ED4B6AD3E084}" uniqueName="4" name="Actual Amount"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47A2D02-67F3-E04E-A987-E9C762441FE7}" name="budget_vs_actual" displayName="budget_vs_actual" ref="A2:F14" tableType="queryTable" totalsRowShown="0">
  <autoFilter ref="A2:F14" xr:uid="{547A2D02-67F3-E04E-A987-E9C762441FE7}"/>
  <tableColumns count="6">
    <tableColumn id="1" xr3:uid="{711E03EE-5190-1F45-9404-81FB5DECCEF6}" uniqueName="1" name="month_date" queryTableFieldId="1" dataDxfId="0"/>
    <tableColumn id="2" xr3:uid="{95A77EC6-52A7-A645-9A32-6904D6A13171}" uniqueName="2" name="budget_spend" queryTableFieldId="2"/>
    <tableColumn id="3" xr3:uid="{233CA970-9FAE-EB47-945A-83E054B0DD00}" uniqueName="3" name="actual_spend" queryTableFieldId="3"/>
    <tableColumn id="4" xr3:uid="{B2938775-DF5F-F24F-9C04-45289FA5397A}" uniqueName="4" name="Variance ($)" queryTableFieldId="4"/>
    <tableColumn id="5" xr3:uid="{7347371F-2820-4442-A48C-91A26D29A09A}" uniqueName="5" name="variance_percent" queryTableFieldId="5"/>
    <tableColumn id="7" xr3:uid="{48301FB9-0123-5F4A-B7BF-EB24B80C4AFC}" uniqueName="7" name="Variance (%)" queryTableFieldId="7" dataDxfId="1">
      <calculatedColumnFormula>E3/100</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BE557F-18B2-5749-AE0C-82C9E820B024}" name="budget_trend_with_rolling" displayName="budget_trend_with_rolling" ref="A2:C26" tableType="queryTable" totalsRowShown="0">
  <autoFilter ref="A2:C26" xr:uid="{4EBE557F-18B2-5749-AE0C-82C9E820B024}"/>
  <tableColumns count="3">
    <tableColumn id="1" xr3:uid="{85AFCECE-F0DE-C041-A0A6-0DABDAB7655D}" uniqueName="1" name="Month, 2023" queryTableFieldId="1" dataDxfId="9"/>
    <tableColumn id="2" xr3:uid="{FB23B1DC-721D-AF43-96C9-886630C9D82C}" uniqueName="2" name="Total Spend" queryTableFieldId="2" dataCellStyle="Currency"/>
    <tableColumn id="3" xr3:uid="{EFF135B0-263B-4D4B-8F0D-2E24A2A605E0}" uniqueName="3" name="3-Month Rolling Average" queryTableFieldId="3" dataCellStyle="Currency"/>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4005E4-D937-B048-9029-B88FDBFB477E}" name="budget_mom_growth" displayName="budget_mom_growth" ref="A2:C26" tableType="queryTable" totalsRowShown="0">
  <autoFilter ref="A2:C26" xr:uid="{8B4005E4-D937-B048-9029-B88FDBFB477E}"/>
  <tableColumns count="3">
    <tableColumn id="1" xr3:uid="{2B250C9D-BEB7-5E42-9A80-2E83A949C768}" uniqueName="1" name="Month" queryTableFieldId="1" dataDxfId="8"/>
    <tableColumn id="2" xr3:uid="{F3DD853B-B8F5-8F4F-B540-8E2F6026131D}" uniqueName="2" name="Total Spend" queryTableFieldId="2" dataCellStyle="Currency"/>
    <tableColumn id="3" xr3:uid="{5AC0AB4E-E9D4-E943-B9DB-C928E69FB37C}" uniqueName="3" name="MoM Percent Change"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97031C-18C5-934A-9A71-372CC1F4268F}" name="department_volatility" displayName="department_volatility" ref="A2:B8" tableType="queryTable" totalsRowShown="0">
  <autoFilter ref="A2:B8" xr:uid="{DA97031C-18C5-934A-9A71-372CC1F4268F}"/>
  <tableColumns count="2">
    <tableColumn id="1" xr3:uid="{FB5F8C4F-9EEA-3443-A51C-8D352F22E747}" uniqueName="1" name="department" queryTableFieldId="1" dataDxfId="7" totalsRowDxfId="5"/>
    <tableColumn id="2" xr3:uid="{554C2A5B-4EAC-D44B-B304-E254ED186C70}" uniqueName="2" name="spend_volatility" queryTableFieldId="2"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kaggle.com/datasets/saharsyed/financial-dataset-expenses-budget-vs-actual?resource=download"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69ADC-68D3-9C41-A047-93EBE51A6799}">
  <dimension ref="A1:V126"/>
  <sheetViews>
    <sheetView showGridLines="0" tabSelected="1" zoomScale="70" zoomScaleNormal="70" workbookViewId="0">
      <pane ySplit="1" topLeftCell="A2" activePane="bottomLeft" state="frozen"/>
      <selection pane="bottomLeft" activeCell="X101" sqref="X101"/>
    </sheetView>
  </sheetViews>
  <sheetFormatPr baseColWidth="10" defaultRowHeight="16"/>
  <cols>
    <col min="1" max="2" width="10.83203125" customWidth="1"/>
    <col min="3" max="3" width="10.83203125" style="4" customWidth="1"/>
    <col min="8" max="8" width="12.1640625" customWidth="1"/>
    <col min="9" max="9" width="10.83203125" customWidth="1"/>
    <col min="11" max="11" width="10.83203125" customWidth="1"/>
  </cols>
  <sheetData>
    <row r="1" spans="1:22" s="73" customFormat="1" ht="30">
      <c r="A1" s="71" t="s">
        <v>31</v>
      </c>
      <c r="B1" s="71"/>
      <c r="C1" s="72"/>
    </row>
    <row r="2" spans="1:22" s="32" customFormat="1" ht="23">
      <c r="A2" s="32" t="s">
        <v>37</v>
      </c>
      <c r="H2" s="33"/>
      <c r="I2" s="33"/>
      <c r="J2" s="33"/>
      <c r="K2" s="33"/>
      <c r="L2" s="33"/>
      <c r="M2" s="33"/>
      <c r="N2" s="33"/>
      <c r="O2" s="33"/>
      <c r="P2" s="33"/>
      <c r="Q2" s="34"/>
      <c r="R2" s="34"/>
      <c r="S2" s="34"/>
    </row>
    <row r="3" spans="1:22" s="32" customFormat="1" ht="23">
      <c r="A3" s="41" t="s">
        <v>38</v>
      </c>
      <c r="B3" s="41"/>
      <c r="C3" s="41"/>
      <c r="D3" s="41"/>
      <c r="E3" s="41"/>
      <c r="F3" s="41"/>
      <c r="G3" s="41"/>
      <c r="H3" s="41"/>
      <c r="I3" s="41"/>
      <c r="J3" s="41"/>
      <c r="K3" s="41"/>
    </row>
    <row r="4" spans="1:22" s="32" customFormat="1" ht="24" thickBot="1">
      <c r="A4" s="38"/>
      <c r="B4" s="38"/>
      <c r="C4" s="38"/>
      <c r="D4" s="38"/>
      <c r="E4" s="38"/>
      <c r="F4" s="38"/>
      <c r="G4" s="38"/>
      <c r="H4" s="38"/>
      <c r="I4" s="38"/>
      <c r="J4" s="38"/>
      <c r="K4" s="38"/>
    </row>
    <row r="5" spans="1:22" s="32" customFormat="1" ht="28" customHeight="1">
      <c r="A5" s="38"/>
      <c r="B5" s="74" t="s">
        <v>45</v>
      </c>
      <c r="C5" s="75"/>
      <c r="D5" s="75"/>
      <c r="E5" s="75"/>
      <c r="F5" s="75"/>
      <c r="G5" s="75"/>
      <c r="H5" s="75"/>
      <c r="I5" s="75"/>
      <c r="J5" s="75"/>
      <c r="K5" s="75"/>
      <c r="L5" s="75"/>
      <c r="M5" s="75"/>
      <c r="N5" s="75"/>
      <c r="O5" s="75"/>
      <c r="P5" s="75"/>
      <c r="Q5" s="75"/>
      <c r="R5" s="75"/>
      <c r="S5" s="75"/>
      <c r="T5" s="75"/>
      <c r="U5" s="75"/>
      <c r="V5" s="76"/>
    </row>
    <row r="6" spans="1:22" ht="17" thickBot="1">
      <c r="B6" s="77"/>
      <c r="C6" s="78"/>
      <c r="D6" s="78"/>
      <c r="E6" s="78"/>
      <c r="F6" s="78"/>
      <c r="G6" s="78"/>
      <c r="H6" s="78"/>
      <c r="I6" s="78"/>
      <c r="J6" s="78"/>
      <c r="K6" s="78"/>
      <c r="L6" s="78"/>
      <c r="M6" s="78"/>
      <c r="N6" s="78"/>
      <c r="O6" s="78"/>
      <c r="P6" s="78"/>
      <c r="Q6" s="78"/>
      <c r="R6" s="78"/>
      <c r="S6" s="78"/>
      <c r="T6" s="78"/>
      <c r="U6" s="78"/>
      <c r="V6" s="79"/>
    </row>
    <row r="7" spans="1:22" s="51" customFormat="1" ht="18" customHeight="1">
      <c r="B7" s="97"/>
      <c r="C7" s="53" t="s">
        <v>35</v>
      </c>
      <c r="D7" s="54"/>
      <c r="E7" s="54"/>
      <c r="F7" s="55"/>
      <c r="G7" s="98"/>
      <c r="H7" s="56" t="s">
        <v>46</v>
      </c>
      <c r="I7" s="57"/>
      <c r="J7" s="57"/>
      <c r="K7" s="58"/>
      <c r="L7" s="98"/>
      <c r="M7" s="59" t="s">
        <v>36</v>
      </c>
      <c r="N7" s="60"/>
      <c r="O7" s="60"/>
      <c r="P7" s="61"/>
      <c r="Q7" s="98"/>
      <c r="R7" s="62" t="s">
        <v>32</v>
      </c>
      <c r="S7" s="63"/>
      <c r="T7" s="63"/>
      <c r="U7" s="64"/>
      <c r="V7" s="99"/>
    </row>
    <row r="8" spans="1:22" ht="28">
      <c r="B8" s="86"/>
      <c r="C8" s="16"/>
      <c r="D8" s="17"/>
      <c r="E8" s="17"/>
      <c r="F8" s="18"/>
      <c r="G8" s="89"/>
      <c r="H8" s="22"/>
      <c r="I8" s="39"/>
      <c r="J8" s="39"/>
      <c r="K8" s="26"/>
      <c r="L8" s="89"/>
      <c r="M8" s="19"/>
      <c r="N8" s="20"/>
      <c r="O8" s="20"/>
      <c r="P8" s="21"/>
      <c r="Q8" s="89"/>
      <c r="R8" s="25"/>
      <c r="S8" s="40"/>
      <c r="T8" s="40"/>
      <c r="U8" s="26"/>
      <c r="V8" s="91"/>
    </row>
    <row r="9" spans="1:22" ht="34" thickBot="1">
      <c r="B9" s="86"/>
      <c r="C9" s="48">
        <f>GETPIVOTDATA("amount",Monthly_Department_Spend!$A$3)</f>
        <v>1762200</v>
      </c>
      <c r="D9" s="49"/>
      <c r="E9" s="49"/>
      <c r="F9" s="50"/>
      <c r="G9" s="89"/>
      <c r="H9" s="45">
        <f>AVERAGE(Monthly_Department_Spend!I6:I17)</f>
        <v>146850</v>
      </c>
      <c r="I9" s="46"/>
      <c r="J9" s="46"/>
      <c r="K9" s="47"/>
      <c r="L9" s="89"/>
      <c r="M9" s="42">
        <f>MAX(Monthly_Department_Spend!I6:I17)</f>
        <v>155000</v>
      </c>
      <c r="N9" s="43"/>
      <c r="O9" s="43"/>
      <c r="P9" s="44"/>
      <c r="Q9" s="89"/>
      <c r="R9" s="27">
        <f>MAX(Department_Spend_Mix!B4:B9)</f>
        <v>0.76052661445919878</v>
      </c>
      <c r="S9" s="28"/>
      <c r="T9" s="28"/>
      <c r="U9" s="29"/>
      <c r="V9" s="91"/>
    </row>
    <row r="10" spans="1:22" ht="17" customHeight="1">
      <c r="B10" s="86"/>
      <c r="C10" s="87"/>
      <c r="D10" s="88"/>
      <c r="E10" s="88"/>
      <c r="F10" s="88"/>
      <c r="G10" s="89"/>
      <c r="H10" s="89"/>
      <c r="I10" s="90"/>
      <c r="J10" s="90"/>
      <c r="K10" s="90"/>
      <c r="L10" s="89"/>
      <c r="M10" s="89"/>
      <c r="N10" s="89"/>
      <c r="O10" s="89"/>
      <c r="P10" s="89"/>
      <c r="Q10" s="89"/>
      <c r="R10" s="89"/>
      <c r="S10" s="89"/>
      <c r="T10" s="89"/>
      <c r="U10" s="89"/>
      <c r="V10" s="91"/>
    </row>
    <row r="11" spans="1:22" ht="16" customHeight="1" thickBot="1">
      <c r="B11" s="92"/>
      <c r="C11" s="93"/>
      <c r="D11" s="93"/>
      <c r="E11" s="93"/>
      <c r="F11" s="93"/>
      <c r="G11" s="94"/>
      <c r="H11" s="94"/>
      <c r="I11" s="95"/>
      <c r="J11" s="95"/>
      <c r="K11" s="95"/>
      <c r="L11" s="94"/>
      <c r="M11" s="94"/>
      <c r="N11" s="94"/>
      <c r="O11" s="94"/>
      <c r="P11" s="94"/>
      <c r="Q11" s="94"/>
      <c r="R11" s="94"/>
      <c r="S11" s="94"/>
      <c r="T11" s="94"/>
      <c r="U11" s="94"/>
      <c r="V11" s="96"/>
    </row>
    <row r="12" spans="1:22" ht="16" customHeight="1">
      <c r="C12" s="23"/>
      <c r="D12" s="23"/>
      <c r="E12" s="23"/>
      <c r="F12" s="23"/>
      <c r="I12" s="24"/>
      <c r="J12" s="24"/>
      <c r="K12" s="24"/>
    </row>
    <row r="13" spans="1:22" ht="16" customHeight="1" thickBot="1">
      <c r="C13" s="23"/>
      <c r="D13" s="23"/>
      <c r="E13" s="23"/>
      <c r="F13" s="23"/>
      <c r="I13" s="24"/>
      <c r="J13" s="24"/>
      <c r="K13" s="24"/>
    </row>
    <row r="14" spans="1:22" ht="17" customHeight="1">
      <c r="B14" s="80" t="s">
        <v>47</v>
      </c>
      <c r="C14" s="81"/>
      <c r="D14" s="81"/>
      <c r="E14" s="81"/>
      <c r="F14" s="81"/>
      <c r="G14" s="81"/>
      <c r="H14" s="81"/>
      <c r="I14" s="81"/>
      <c r="J14" s="81"/>
      <c r="K14" s="81"/>
      <c r="L14" s="81"/>
      <c r="M14" s="81"/>
      <c r="N14" s="81"/>
      <c r="O14" s="81"/>
      <c r="P14" s="81"/>
      <c r="Q14" s="81"/>
      <c r="R14" s="81"/>
      <c r="S14" s="81"/>
      <c r="T14" s="81"/>
      <c r="U14" s="81"/>
      <c r="V14" s="82"/>
    </row>
    <row r="15" spans="1:22" ht="16" customHeight="1">
      <c r="B15" s="83"/>
      <c r="C15" s="84"/>
      <c r="D15" s="84"/>
      <c r="E15" s="84"/>
      <c r="F15" s="84"/>
      <c r="G15" s="84"/>
      <c r="H15" s="84"/>
      <c r="I15" s="84"/>
      <c r="J15" s="84"/>
      <c r="K15" s="84"/>
      <c r="L15" s="84"/>
      <c r="M15" s="84"/>
      <c r="N15" s="84"/>
      <c r="O15" s="84"/>
      <c r="P15" s="84"/>
      <c r="Q15" s="84"/>
      <c r="R15" s="84"/>
      <c r="S15" s="84"/>
      <c r="T15" s="84"/>
      <c r="U15" s="84"/>
      <c r="V15" s="85"/>
    </row>
    <row r="16" spans="1:22" ht="16" customHeight="1">
      <c r="B16" s="83"/>
      <c r="C16" s="84"/>
      <c r="D16" s="84"/>
      <c r="E16" s="84"/>
      <c r="F16" s="84"/>
      <c r="G16" s="84"/>
      <c r="H16" s="84"/>
      <c r="I16" s="84"/>
      <c r="J16" s="84"/>
      <c r="K16" s="84"/>
      <c r="L16" s="84"/>
      <c r="M16" s="84"/>
      <c r="N16" s="84"/>
      <c r="O16" s="84"/>
      <c r="P16" s="84"/>
      <c r="Q16" s="84"/>
      <c r="R16" s="84"/>
      <c r="S16" s="84"/>
      <c r="T16" s="84"/>
      <c r="U16" s="84"/>
      <c r="V16" s="85"/>
    </row>
    <row r="17" spans="2:22" ht="16" customHeight="1">
      <c r="B17" s="86"/>
      <c r="C17" s="100"/>
      <c r="D17" s="89"/>
      <c r="E17" s="89"/>
      <c r="F17" s="89"/>
      <c r="G17" s="89"/>
      <c r="H17" s="89"/>
      <c r="I17" s="89"/>
      <c r="J17" s="89"/>
      <c r="K17" s="89"/>
      <c r="L17" s="89"/>
      <c r="M17" s="89"/>
      <c r="N17" s="89"/>
      <c r="O17" s="89"/>
      <c r="P17" s="89"/>
      <c r="Q17" s="89"/>
      <c r="R17" s="89"/>
      <c r="S17" s="89"/>
      <c r="T17" s="89"/>
      <c r="U17" s="89"/>
      <c r="V17" s="91"/>
    </row>
    <row r="18" spans="2:22" ht="16" customHeight="1">
      <c r="B18" s="86"/>
      <c r="C18" s="100"/>
      <c r="D18" s="89"/>
      <c r="E18" s="89"/>
      <c r="F18" s="89"/>
      <c r="G18" s="89"/>
      <c r="H18" s="89"/>
      <c r="I18" s="89"/>
      <c r="J18" s="89"/>
      <c r="K18" s="89"/>
      <c r="L18" s="89"/>
      <c r="M18" s="89"/>
      <c r="N18" s="89"/>
      <c r="O18" s="89"/>
      <c r="P18" s="89"/>
      <c r="Q18" s="89"/>
      <c r="R18" s="89"/>
      <c r="S18" s="89"/>
      <c r="T18" s="89"/>
      <c r="U18" s="89"/>
      <c r="V18" s="91"/>
    </row>
    <row r="19" spans="2:22" ht="16" customHeight="1">
      <c r="B19" s="86"/>
      <c r="C19" s="100"/>
      <c r="D19" s="89"/>
      <c r="E19" s="89"/>
      <c r="F19" s="89"/>
      <c r="G19" s="89"/>
      <c r="H19" s="89"/>
      <c r="I19" s="89"/>
      <c r="J19" s="89"/>
      <c r="K19" s="89"/>
      <c r="L19" s="89"/>
      <c r="M19" s="89"/>
      <c r="N19" s="89"/>
      <c r="O19" s="89"/>
      <c r="P19" s="89"/>
      <c r="Q19" s="89"/>
      <c r="R19" s="89"/>
      <c r="S19" s="89"/>
      <c r="T19" s="89"/>
      <c r="U19" s="89"/>
      <c r="V19" s="91"/>
    </row>
    <row r="20" spans="2:22" ht="16" customHeight="1">
      <c r="B20" s="86"/>
      <c r="C20" s="100"/>
      <c r="D20" s="89"/>
      <c r="E20" s="89"/>
      <c r="F20" s="89"/>
      <c r="G20" s="89"/>
      <c r="H20" s="89"/>
      <c r="I20" s="89"/>
      <c r="J20" s="89"/>
      <c r="K20" s="89"/>
      <c r="L20" s="89"/>
      <c r="M20" s="89"/>
      <c r="N20" s="89"/>
      <c r="O20" s="89"/>
      <c r="P20" s="89"/>
      <c r="Q20" s="89"/>
      <c r="R20" s="89"/>
      <c r="S20" s="89"/>
      <c r="T20" s="89"/>
      <c r="U20" s="89"/>
      <c r="V20" s="91"/>
    </row>
    <row r="21" spans="2:22" ht="16" customHeight="1">
      <c r="B21" s="86"/>
      <c r="C21" s="100"/>
      <c r="D21" s="89"/>
      <c r="E21" s="89"/>
      <c r="F21" s="89"/>
      <c r="G21" s="89"/>
      <c r="H21" s="89"/>
      <c r="I21" s="89"/>
      <c r="J21" s="89"/>
      <c r="K21" s="89"/>
      <c r="L21" s="89"/>
      <c r="M21" s="89"/>
      <c r="N21" s="89"/>
      <c r="O21" s="89"/>
      <c r="P21" s="89"/>
      <c r="Q21" s="89"/>
      <c r="R21" s="89"/>
      <c r="S21" s="89"/>
      <c r="T21" s="89"/>
      <c r="U21" s="89"/>
      <c r="V21" s="91"/>
    </row>
    <row r="22" spans="2:22" ht="16" customHeight="1">
      <c r="B22" s="86"/>
      <c r="C22" s="100"/>
      <c r="D22" s="89"/>
      <c r="E22" s="89"/>
      <c r="F22" s="89"/>
      <c r="G22" s="89"/>
      <c r="H22" s="89"/>
      <c r="I22" s="89"/>
      <c r="J22" s="89"/>
      <c r="K22" s="89"/>
      <c r="L22" s="89"/>
      <c r="M22" s="89"/>
      <c r="N22" s="89"/>
      <c r="O22" s="89"/>
      <c r="P22" s="89"/>
      <c r="Q22" s="89"/>
      <c r="R22" s="89"/>
      <c r="S22" s="89"/>
      <c r="T22" s="89"/>
      <c r="U22" s="89"/>
      <c r="V22" s="91"/>
    </row>
    <row r="23" spans="2:22" ht="16" customHeight="1">
      <c r="B23" s="86"/>
      <c r="C23" s="100"/>
      <c r="D23" s="89"/>
      <c r="E23" s="89"/>
      <c r="F23" s="89"/>
      <c r="G23" s="89"/>
      <c r="H23" s="89"/>
      <c r="I23" s="89"/>
      <c r="J23" s="89"/>
      <c r="K23" s="89"/>
      <c r="L23" s="89"/>
      <c r="M23" s="89"/>
      <c r="N23" s="89"/>
      <c r="O23" s="89"/>
      <c r="P23" s="89"/>
      <c r="Q23" s="89"/>
      <c r="R23" s="89"/>
      <c r="S23" s="89"/>
      <c r="T23" s="89"/>
      <c r="U23" s="89"/>
      <c r="V23" s="91"/>
    </row>
    <row r="24" spans="2:22" ht="17" customHeight="1">
      <c r="B24" s="86"/>
      <c r="C24" s="100"/>
      <c r="D24" s="89"/>
      <c r="E24" s="89"/>
      <c r="F24" s="89"/>
      <c r="G24" s="89"/>
      <c r="H24" s="89"/>
      <c r="I24" s="89"/>
      <c r="J24" s="89"/>
      <c r="K24" s="89"/>
      <c r="L24" s="89"/>
      <c r="M24" s="89"/>
      <c r="N24" s="89"/>
      <c r="O24" s="89"/>
      <c r="P24" s="89"/>
      <c r="Q24" s="89"/>
      <c r="R24" s="89"/>
      <c r="S24" s="89"/>
      <c r="T24" s="89"/>
      <c r="U24" s="89"/>
      <c r="V24" s="91"/>
    </row>
    <row r="25" spans="2:22" ht="16" customHeight="1">
      <c r="B25" s="86"/>
      <c r="C25" s="101"/>
      <c r="D25" s="89"/>
      <c r="E25" s="89"/>
      <c r="F25" s="89"/>
      <c r="G25" s="89"/>
      <c r="H25" s="89"/>
      <c r="I25" s="89"/>
      <c r="J25" s="89"/>
      <c r="K25" s="89"/>
      <c r="L25" s="89"/>
      <c r="M25" s="89"/>
      <c r="N25" s="89"/>
      <c r="O25" s="89"/>
      <c r="P25" s="89"/>
      <c r="Q25" s="89"/>
      <c r="R25" s="89"/>
      <c r="S25" s="89"/>
      <c r="T25" s="89"/>
      <c r="U25" s="89"/>
      <c r="V25" s="91"/>
    </row>
    <row r="26" spans="2:22" ht="16" customHeight="1">
      <c r="B26" s="86"/>
      <c r="C26" s="101"/>
      <c r="D26" s="89"/>
      <c r="E26" s="89"/>
      <c r="F26" s="89"/>
      <c r="G26" s="89"/>
      <c r="H26" s="89"/>
      <c r="I26" s="89"/>
      <c r="J26" s="89"/>
      <c r="K26" s="89"/>
      <c r="L26" s="89"/>
      <c r="M26" s="89"/>
      <c r="N26" s="89"/>
      <c r="O26" s="89"/>
      <c r="P26" s="89"/>
      <c r="Q26" s="89"/>
      <c r="R26" s="89"/>
      <c r="S26" s="89"/>
      <c r="T26" s="89"/>
      <c r="U26" s="89"/>
      <c r="V26" s="91"/>
    </row>
    <row r="27" spans="2:22" ht="16" customHeight="1">
      <c r="B27" s="86"/>
      <c r="C27" s="101"/>
      <c r="D27" s="89"/>
      <c r="E27" s="89"/>
      <c r="F27" s="89"/>
      <c r="G27" s="89"/>
      <c r="H27" s="89"/>
      <c r="I27" s="89"/>
      <c r="J27" s="89"/>
      <c r="K27" s="89"/>
      <c r="L27" s="89"/>
      <c r="M27" s="89"/>
      <c r="N27" s="89"/>
      <c r="O27" s="89"/>
      <c r="P27" s="89"/>
      <c r="Q27" s="89"/>
      <c r="R27" s="89"/>
      <c r="S27" s="89"/>
      <c r="T27" s="89"/>
      <c r="U27" s="89"/>
      <c r="V27" s="91"/>
    </row>
    <row r="28" spans="2:22" ht="16" customHeight="1">
      <c r="B28" s="86"/>
      <c r="C28" s="102"/>
      <c r="D28" s="89"/>
      <c r="E28" s="89"/>
      <c r="F28" s="89"/>
      <c r="G28" s="89"/>
      <c r="H28" s="89"/>
      <c r="I28" s="89"/>
      <c r="J28" s="89"/>
      <c r="K28" s="89"/>
      <c r="L28" s="89"/>
      <c r="M28" s="89"/>
      <c r="N28" s="89"/>
      <c r="O28" s="89"/>
      <c r="P28" s="89"/>
      <c r="Q28" s="89"/>
      <c r="R28" s="89"/>
      <c r="S28" s="89"/>
      <c r="T28" s="89"/>
      <c r="U28" s="89"/>
      <c r="V28" s="91"/>
    </row>
    <row r="29" spans="2:22" ht="16" customHeight="1">
      <c r="B29" s="86"/>
      <c r="C29" s="100"/>
      <c r="D29" s="89"/>
      <c r="E29" s="89"/>
      <c r="F29" s="89"/>
      <c r="G29" s="89"/>
      <c r="H29" s="89"/>
      <c r="I29" s="89"/>
      <c r="J29" s="89"/>
      <c r="K29" s="89"/>
      <c r="L29" s="89"/>
      <c r="M29" s="89"/>
      <c r="N29" s="89"/>
      <c r="O29" s="89"/>
      <c r="P29" s="89"/>
      <c r="Q29" s="89"/>
      <c r="R29" s="89"/>
      <c r="S29" s="89"/>
      <c r="T29" s="89"/>
      <c r="U29" s="89"/>
      <c r="V29" s="91"/>
    </row>
    <row r="30" spans="2:22" ht="16" customHeight="1">
      <c r="B30" s="86"/>
      <c r="C30" s="100"/>
      <c r="D30" s="89"/>
      <c r="E30" s="89"/>
      <c r="F30" s="89"/>
      <c r="G30" s="89"/>
      <c r="H30" s="89"/>
      <c r="I30" s="89"/>
      <c r="J30" s="89"/>
      <c r="K30" s="89"/>
      <c r="L30" s="89"/>
      <c r="M30" s="89"/>
      <c r="N30" s="89"/>
      <c r="O30" s="89"/>
      <c r="P30" s="89"/>
      <c r="Q30" s="89"/>
      <c r="R30" s="89"/>
      <c r="S30" s="89"/>
      <c r="T30" s="89"/>
      <c r="U30" s="89"/>
      <c r="V30" s="91"/>
    </row>
    <row r="31" spans="2:22" ht="16" customHeight="1">
      <c r="B31" s="86"/>
      <c r="C31" s="100"/>
      <c r="D31" s="89"/>
      <c r="E31" s="89"/>
      <c r="F31" s="89"/>
      <c r="G31" s="89"/>
      <c r="H31" s="89"/>
      <c r="I31" s="89"/>
      <c r="J31" s="89"/>
      <c r="K31" s="89"/>
      <c r="L31" s="89"/>
      <c r="M31" s="89"/>
      <c r="N31" s="89"/>
      <c r="O31" s="89"/>
      <c r="P31" s="89"/>
      <c r="Q31" s="89"/>
      <c r="R31" s="89"/>
      <c r="S31" s="89"/>
      <c r="T31" s="89"/>
      <c r="U31" s="89"/>
      <c r="V31" s="91"/>
    </row>
    <row r="32" spans="2:22" ht="16" customHeight="1">
      <c r="B32" s="86"/>
      <c r="C32" s="100"/>
      <c r="D32" s="89"/>
      <c r="E32" s="89"/>
      <c r="F32" s="89"/>
      <c r="G32" s="89"/>
      <c r="H32" s="89"/>
      <c r="I32" s="89"/>
      <c r="J32" s="89"/>
      <c r="K32" s="89"/>
      <c r="L32" s="89"/>
      <c r="M32" s="89"/>
      <c r="N32" s="89"/>
      <c r="O32" s="89"/>
      <c r="P32" s="89"/>
      <c r="Q32" s="89"/>
      <c r="R32" s="89"/>
      <c r="S32" s="89"/>
      <c r="T32" s="89"/>
      <c r="U32" s="89"/>
      <c r="V32" s="91"/>
    </row>
    <row r="33" spans="2:22" ht="16" customHeight="1">
      <c r="B33" s="86"/>
      <c r="C33" s="100"/>
      <c r="D33" s="89"/>
      <c r="E33" s="89"/>
      <c r="F33" s="89"/>
      <c r="G33" s="89"/>
      <c r="H33" s="89"/>
      <c r="I33" s="89"/>
      <c r="J33" s="89"/>
      <c r="K33" s="89"/>
      <c r="L33" s="89"/>
      <c r="M33" s="89"/>
      <c r="N33" s="89"/>
      <c r="O33" s="89"/>
      <c r="P33" s="89"/>
      <c r="Q33" s="89"/>
      <c r="R33" s="89"/>
      <c r="S33" s="89"/>
      <c r="T33" s="89"/>
      <c r="U33" s="89"/>
      <c r="V33" s="91"/>
    </row>
    <row r="34" spans="2:22" ht="16" customHeight="1">
      <c r="B34" s="86"/>
      <c r="C34" s="100"/>
      <c r="D34" s="89"/>
      <c r="E34" s="89"/>
      <c r="F34" s="89"/>
      <c r="G34" s="89"/>
      <c r="H34" s="89"/>
      <c r="I34" s="89"/>
      <c r="J34" s="89"/>
      <c r="K34" s="89"/>
      <c r="L34" s="89"/>
      <c r="M34" s="89"/>
      <c r="N34" s="89"/>
      <c r="O34" s="89"/>
      <c r="P34" s="89"/>
      <c r="Q34" s="89"/>
      <c r="R34" s="89"/>
      <c r="S34" s="89"/>
      <c r="T34" s="89"/>
      <c r="U34" s="89"/>
      <c r="V34" s="91"/>
    </row>
    <row r="35" spans="2:22" ht="16" customHeight="1">
      <c r="B35" s="86"/>
      <c r="C35" s="100"/>
      <c r="D35" s="89"/>
      <c r="E35" s="89"/>
      <c r="F35" s="89"/>
      <c r="G35" s="89"/>
      <c r="H35" s="89"/>
      <c r="I35" s="89"/>
      <c r="J35" s="89"/>
      <c r="K35" s="89"/>
      <c r="L35" s="89"/>
      <c r="M35" s="89"/>
      <c r="N35" s="89"/>
      <c r="O35" s="89"/>
      <c r="P35" s="89"/>
      <c r="Q35" s="89"/>
      <c r="R35" s="89"/>
      <c r="S35" s="89"/>
      <c r="T35" s="89"/>
      <c r="U35" s="89"/>
      <c r="V35" s="91"/>
    </row>
    <row r="36" spans="2:22" ht="16" customHeight="1">
      <c r="B36" s="86"/>
      <c r="C36" s="100"/>
      <c r="D36" s="89"/>
      <c r="E36" s="89"/>
      <c r="F36" s="89"/>
      <c r="G36" s="89"/>
      <c r="H36" s="89"/>
      <c r="I36" s="89"/>
      <c r="J36" s="89"/>
      <c r="K36" s="89"/>
      <c r="L36" s="89"/>
      <c r="M36" s="89"/>
      <c r="N36" s="89"/>
      <c r="O36" s="89"/>
      <c r="P36" s="89"/>
      <c r="Q36" s="89"/>
      <c r="R36" s="89"/>
      <c r="S36" s="89"/>
      <c r="T36" s="89"/>
      <c r="U36" s="89"/>
      <c r="V36" s="91"/>
    </row>
    <row r="37" spans="2:22" ht="16" customHeight="1">
      <c r="B37" s="86"/>
      <c r="C37" s="100"/>
      <c r="D37" s="89"/>
      <c r="E37" s="89"/>
      <c r="F37" s="89"/>
      <c r="G37" s="89"/>
      <c r="H37" s="89"/>
      <c r="I37" s="89"/>
      <c r="J37" s="89"/>
      <c r="K37" s="89"/>
      <c r="L37" s="89"/>
      <c r="M37" s="89"/>
      <c r="N37" s="89"/>
      <c r="O37" s="89"/>
      <c r="P37" s="89"/>
      <c r="Q37" s="89"/>
      <c r="R37" s="89"/>
      <c r="S37" s="89"/>
      <c r="T37" s="89"/>
      <c r="U37" s="89"/>
      <c r="V37" s="91"/>
    </row>
    <row r="38" spans="2:22" ht="16" customHeight="1">
      <c r="B38" s="86"/>
      <c r="C38" s="100"/>
      <c r="D38" s="89"/>
      <c r="E38" s="89"/>
      <c r="F38" s="89"/>
      <c r="G38" s="89"/>
      <c r="H38" s="89"/>
      <c r="I38" s="89"/>
      <c r="J38" s="89"/>
      <c r="K38" s="89"/>
      <c r="L38" s="89"/>
      <c r="M38" s="89"/>
      <c r="N38" s="89"/>
      <c r="O38" s="89"/>
      <c r="P38" s="89"/>
      <c r="Q38" s="89"/>
      <c r="R38" s="89"/>
      <c r="S38" s="89"/>
      <c r="T38" s="89"/>
      <c r="U38" s="89"/>
      <c r="V38" s="91"/>
    </row>
    <row r="39" spans="2:22" ht="16" customHeight="1">
      <c r="B39" s="86"/>
      <c r="C39" s="100"/>
      <c r="D39" s="89"/>
      <c r="E39" s="89"/>
      <c r="F39" s="89"/>
      <c r="G39" s="89"/>
      <c r="H39" s="89"/>
      <c r="I39" s="89"/>
      <c r="J39" s="89"/>
      <c r="K39" s="89"/>
      <c r="L39" s="89"/>
      <c r="M39" s="89"/>
      <c r="N39" s="89"/>
      <c r="O39" s="89"/>
      <c r="P39" s="89"/>
      <c r="Q39" s="89"/>
      <c r="R39" s="89"/>
      <c r="S39" s="89"/>
      <c r="T39" s="89"/>
      <c r="U39" s="89"/>
      <c r="V39" s="91"/>
    </row>
    <row r="40" spans="2:22" ht="16" customHeight="1">
      <c r="B40" s="86"/>
      <c r="C40" s="100"/>
      <c r="D40" s="89"/>
      <c r="E40" s="89"/>
      <c r="F40" s="89"/>
      <c r="G40" s="89"/>
      <c r="H40" s="89"/>
      <c r="I40" s="89"/>
      <c r="J40" s="89"/>
      <c r="K40" s="89"/>
      <c r="L40" s="89"/>
      <c r="M40" s="89"/>
      <c r="N40" s="89"/>
      <c r="O40" s="89"/>
      <c r="P40" s="89"/>
      <c r="Q40" s="89"/>
      <c r="R40" s="89"/>
      <c r="S40" s="89"/>
      <c r="T40" s="89"/>
      <c r="U40" s="89"/>
      <c r="V40" s="91"/>
    </row>
    <row r="41" spans="2:22" ht="16" customHeight="1">
      <c r="B41" s="86"/>
      <c r="C41" s="100"/>
      <c r="D41" s="89"/>
      <c r="E41" s="89"/>
      <c r="F41" s="89"/>
      <c r="G41" s="89"/>
      <c r="H41" s="89"/>
      <c r="I41" s="89"/>
      <c r="J41" s="89"/>
      <c r="K41" s="89"/>
      <c r="L41" s="89"/>
      <c r="M41" s="89"/>
      <c r="N41" s="89"/>
      <c r="O41" s="89"/>
      <c r="P41" s="89"/>
      <c r="Q41" s="89"/>
      <c r="R41" s="89"/>
      <c r="S41" s="89"/>
      <c r="T41" s="89"/>
      <c r="U41" s="89"/>
      <c r="V41" s="91"/>
    </row>
    <row r="42" spans="2:22" ht="16" customHeight="1">
      <c r="B42" s="86"/>
      <c r="C42" s="100"/>
      <c r="D42" s="89"/>
      <c r="E42" s="89"/>
      <c r="F42" s="89"/>
      <c r="G42" s="89"/>
      <c r="H42" s="89"/>
      <c r="I42" s="89"/>
      <c r="J42" s="89"/>
      <c r="K42" s="89"/>
      <c r="L42" s="89"/>
      <c r="M42" s="89"/>
      <c r="N42" s="89"/>
      <c r="O42" s="89"/>
      <c r="P42" s="89"/>
      <c r="Q42" s="89"/>
      <c r="R42" s="89"/>
      <c r="S42" s="89"/>
      <c r="T42" s="89"/>
      <c r="U42" s="89"/>
      <c r="V42" s="91"/>
    </row>
    <row r="43" spans="2:22" ht="16" customHeight="1">
      <c r="B43" s="86"/>
      <c r="C43" s="100"/>
      <c r="D43" s="89"/>
      <c r="E43" s="89"/>
      <c r="F43" s="89"/>
      <c r="G43" s="89"/>
      <c r="H43" s="89"/>
      <c r="I43" s="89"/>
      <c r="J43" s="89"/>
      <c r="K43" s="89"/>
      <c r="L43" s="89"/>
      <c r="M43" s="89"/>
      <c r="N43" s="89"/>
      <c r="O43" s="89"/>
      <c r="P43" s="89"/>
      <c r="Q43" s="89"/>
      <c r="R43" s="89"/>
      <c r="S43" s="89"/>
      <c r="T43" s="89"/>
      <c r="U43" s="89"/>
      <c r="V43" s="91"/>
    </row>
    <row r="44" spans="2:22" ht="16" customHeight="1">
      <c r="B44" s="86"/>
      <c r="C44" s="100"/>
      <c r="D44" s="89"/>
      <c r="E44" s="89"/>
      <c r="F44" s="89"/>
      <c r="G44" s="89"/>
      <c r="H44" s="89"/>
      <c r="I44" s="89"/>
      <c r="J44" s="89"/>
      <c r="K44" s="89"/>
      <c r="L44" s="89"/>
      <c r="M44" s="89"/>
      <c r="N44" s="89"/>
      <c r="O44" s="89"/>
      <c r="P44" s="89"/>
      <c r="Q44" s="89"/>
      <c r="R44" s="89"/>
      <c r="S44" s="89"/>
      <c r="T44" s="89"/>
      <c r="U44" s="89"/>
      <c r="V44" s="91"/>
    </row>
    <row r="45" spans="2:22" ht="11" customHeight="1">
      <c r="B45" s="86"/>
      <c r="C45" s="100"/>
      <c r="D45" s="89"/>
      <c r="E45" s="89"/>
      <c r="F45" s="89"/>
      <c r="G45" s="89"/>
      <c r="H45" s="89"/>
      <c r="I45" s="89"/>
      <c r="J45" s="89"/>
      <c r="K45" s="89"/>
      <c r="L45" s="89"/>
      <c r="M45" s="89"/>
      <c r="N45" s="89"/>
      <c r="O45" s="89"/>
      <c r="P45" s="89"/>
      <c r="Q45" s="89"/>
      <c r="R45" s="89"/>
      <c r="S45" s="89"/>
      <c r="T45" s="89"/>
      <c r="U45" s="89"/>
      <c r="V45" s="91"/>
    </row>
    <row r="46" spans="2:22" ht="16" customHeight="1">
      <c r="B46" s="103" t="s">
        <v>59</v>
      </c>
      <c r="C46" s="104"/>
      <c r="D46" s="104"/>
      <c r="E46" s="104"/>
      <c r="F46" s="104"/>
      <c r="G46" s="104"/>
      <c r="H46" s="104"/>
      <c r="I46" s="104"/>
      <c r="J46" s="104"/>
      <c r="K46" s="104"/>
      <c r="L46" s="104"/>
      <c r="M46" s="104"/>
      <c r="N46" s="104"/>
      <c r="O46" s="104"/>
      <c r="P46" s="104"/>
      <c r="Q46" s="104"/>
      <c r="R46" s="104"/>
      <c r="S46" s="104"/>
      <c r="T46" s="104"/>
      <c r="U46" s="104"/>
      <c r="V46" s="105"/>
    </row>
    <row r="47" spans="2:22" ht="10" customHeight="1">
      <c r="B47" s="103"/>
      <c r="C47" s="104"/>
      <c r="D47" s="104"/>
      <c r="E47" s="104"/>
      <c r="F47" s="104"/>
      <c r="G47" s="104"/>
      <c r="H47" s="104"/>
      <c r="I47" s="104"/>
      <c r="J47" s="104"/>
      <c r="K47" s="104"/>
      <c r="L47" s="104"/>
      <c r="M47" s="104"/>
      <c r="N47" s="104"/>
      <c r="O47" s="104"/>
      <c r="P47" s="104"/>
      <c r="Q47" s="104"/>
      <c r="R47" s="104"/>
      <c r="S47" s="104"/>
      <c r="T47" s="104"/>
      <c r="U47" s="104"/>
      <c r="V47" s="105"/>
    </row>
    <row r="48" spans="2:22" ht="4" customHeight="1">
      <c r="B48" s="106"/>
      <c r="C48" s="107"/>
      <c r="D48" s="108"/>
      <c r="E48" s="108"/>
      <c r="F48" s="108"/>
      <c r="G48" s="108"/>
      <c r="H48" s="108"/>
      <c r="I48" s="108"/>
      <c r="J48" s="89"/>
      <c r="K48" s="89"/>
      <c r="L48" s="89"/>
      <c r="M48" s="89"/>
      <c r="N48" s="89"/>
      <c r="O48" s="89"/>
      <c r="P48" s="89"/>
      <c r="Q48" s="89"/>
      <c r="R48" s="89"/>
      <c r="S48" s="89"/>
      <c r="T48" s="89"/>
      <c r="U48" s="89"/>
      <c r="V48" s="91"/>
    </row>
    <row r="49" spans="2:22" ht="25">
      <c r="B49" s="109" t="s">
        <v>60</v>
      </c>
      <c r="C49" s="107"/>
      <c r="D49" s="108"/>
      <c r="E49" s="108"/>
      <c r="F49" s="108"/>
      <c r="G49" s="108"/>
      <c r="H49" s="108"/>
      <c r="I49" s="108"/>
      <c r="J49" s="89"/>
      <c r="K49" s="89"/>
      <c r="L49" s="89"/>
      <c r="M49" s="89"/>
      <c r="N49" s="89"/>
      <c r="O49" s="89"/>
      <c r="P49" s="89"/>
      <c r="Q49" s="89"/>
      <c r="R49" s="89"/>
      <c r="S49" s="89"/>
      <c r="T49" s="89"/>
      <c r="U49" s="89"/>
      <c r="V49" s="91"/>
    </row>
    <row r="50" spans="2:22" ht="25">
      <c r="B50" s="110" t="s">
        <v>61</v>
      </c>
      <c r="C50" s="107"/>
      <c r="D50" s="108"/>
      <c r="E50" s="108"/>
      <c r="F50" s="108"/>
      <c r="G50" s="108"/>
      <c r="H50" s="108"/>
      <c r="I50" s="108"/>
      <c r="J50" s="89"/>
      <c r="K50" s="89"/>
      <c r="L50" s="89"/>
      <c r="M50" s="89"/>
      <c r="N50" s="89"/>
      <c r="O50" s="89"/>
      <c r="P50" s="89"/>
      <c r="Q50" s="89"/>
      <c r="R50" s="89"/>
      <c r="S50" s="89"/>
      <c r="T50" s="89"/>
      <c r="U50" s="89"/>
      <c r="V50" s="91"/>
    </row>
    <row r="51" spans="2:22" ht="25">
      <c r="B51" s="110" t="s">
        <v>62</v>
      </c>
      <c r="C51" s="107"/>
      <c r="D51" s="108"/>
      <c r="E51" s="108"/>
      <c r="F51" s="108"/>
      <c r="G51" s="108"/>
      <c r="H51" s="108"/>
      <c r="I51" s="108"/>
      <c r="J51" s="89"/>
      <c r="K51" s="89"/>
      <c r="L51" s="89"/>
      <c r="M51" s="89"/>
      <c r="N51" s="89"/>
      <c r="O51" s="89"/>
      <c r="P51" s="89"/>
      <c r="Q51" s="89"/>
      <c r="R51" s="89"/>
      <c r="S51" s="89"/>
      <c r="T51" s="89"/>
      <c r="U51" s="89"/>
      <c r="V51" s="91"/>
    </row>
    <row r="52" spans="2:22" ht="17" customHeight="1" thickBot="1">
      <c r="B52" s="111"/>
      <c r="C52" s="112"/>
      <c r="D52" s="94"/>
      <c r="E52" s="94"/>
      <c r="F52" s="94"/>
      <c r="G52" s="94"/>
      <c r="H52" s="94"/>
      <c r="I52" s="94"/>
      <c r="J52" s="94"/>
      <c r="K52" s="94"/>
      <c r="L52" s="94"/>
      <c r="M52" s="94"/>
      <c r="N52" s="94"/>
      <c r="O52" s="94"/>
      <c r="P52" s="94"/>
      <c r="Q52" s="94"/>
      <c r="R52" s="94"/>
      <c r="S52" s="94"/>
      <c r="T52" s="94"/>
      <c r="U52" s="94"/>
      <c r="V52" s="96"/>
    </row>
    <row r="53" spans="2:22">
      <c r="B53" s="52"/>
    </row>
    <row r="54" spans="2:22" ht="17" thickBot="1">
      <c r="B54" s="52"/>
    </row>
    <row r="55" spans="2:22">
      <c r="B55" s="80" t="s">
        <v>58</v>
      </c>
      <c r="C55" s="81"/>
      <c r="D55" s="81"/>
      <c r="E55" s="81"/>
      <c r="F55" s="81"/>
      <c r="G55" s="81"/>
      <c r="H55" s="81"/>
      <c r="I55" s="81"/>
      <c r="J55" s="81"/>
      <c r="K55" s="81"/>
      <c r="L55" s="81"/>
      <c r="M55" s="81"/>
      <c r="N55" s="81"/>
      <c r="O55" s="81"/>
      <c r="P55" s="81"/>
      <c r="Q55" s="81"/>
      <c r="R55" s="81"/>
      <c r="S55" s="81"/>
      <c r="T55" s="81"/>
      <c r="U55" s="81"/>
      <c r="V55" s="82"/>
    </row>
    <row r="56" spans="2:22">
      <c r="B56" s="83"/>
      <c r="C56" s="84"/>
      <c r="D56" s="84"/>
      <c r="E56" s="84"/>
      <c r="F56" s="84"/>
      <c r="G56" s="84"/>
      <c r="H56" s="84"/>
      <c r="I56" s="84"/>
      <c r="J56" s="84"/>
      <c r="K56" s="84"/>
      <c r="L56" s="84"/>
      <c r="M56" s="84"/>
      <c r="N56" s="84"/>
      <c r="O56" s="84"/>
      <c r="P56" s="84"/>
      <c r="Q56" s="84"/>
      <c r="R56" s="84"/>
      <c r="S56" s="84"/>
      <c r="T56" s="84"/>
      <c r="U56" s="84"/>
      <c r="V56" s="85"/>
    </row>
    <row r="57" spans="2:22">
      <c r="B57" s="83"/>
      <c r="C57" s="84"/>
      <c r="D57" s="84"/>
      <c r="E57" s="84"/>
      <c r="F57" s="84"/>
      <c r="G57" s="84"/>
      <c r="H57" s="84"/>
      <c r="I57" s="84"/>
      <c r="J57" s="84"/>
      <c r="K57" s="84"/>
      <c r="L57" s="84"/>
      <c r="M57" s="84"/>
      <c r="N57" s="84"/>
      <c r="O57" s="84"/>
      <c r="P57" s="84"/>
      <c r="Q57" s="84"/>
      <c r="R57" s="84"/>
      <c r="S57" s="84"/>
      <c r="T57" s="84"/>
      <c r="U57" s="84"/>
      <c r="V57" s="85"/>
    </row>
    <row r="58" spans="2:22">
      <c r="B58" s="86"/>
      <c r="C58" s="100"/>
      <c r="D58" s="89"/>
      <c r="E58" s="89"/>
      <c r="F58" s="89"/>
      <c r="G58" s="89"/>
      <c r="H58" s="89"/>
      <c r="I58" s="89"/>
      <c r="J58" s="89"/>
      <c r="K58" s="89"/>
      <c r="L58" s="89"/>
      <c r="M58" s="89"/>
      <c r="N58" s="89"/>
      <c r="O58" s="89"/>
      <c r="P58" s="89"/>
      <c r="Q58" s="89"/>
      <c r="R58" s="89"/>
      <c r="S58" s="89"/>
      <c r="T58" s="89"/>
      <c r="U58" s="89"/>
      <c r="V58" s="91"/>
    </row>
    <row r="59" spans="2:22">
      <c r="B59" s="86"/>
      <c r="C59" s="100"/>
      <c r="D59" s="89"/>
      <c r="E59" s="89"/>
      <c r="F59" s="89"/>
      <c r="G59" s="89"/>
      <c r="H59" s="89"/>
      <c r="I59" s="89"/>
      <c r="J59" s="89"/>
      <c r="K59" s="89"/>
      <c r="L59" s="89"/>
      <c r="M59" s="89"/>
      <c r="N59" s="89"/>
      <c r="O59" s="89"/>
      <c r="P59" s="89"/>
      <c r="Q59" s="89"/>
      <c r="R59" s="89"/>
      <c r="S59" s="89"/>
      <c r="T59" s="89"/>
      <c r="U59" s="89"/>
      <c r="V59" s="91"/>
    </row>
    <row r="60" spans="2:22">
      <c r="B60" s="86"/>
      <c r="C60" s="100"/>
      <c r="D60" s="89"/>
      <c r="E60" s="89"/>
      <c r="F60" s="89"/>
      <c r="G60" s="89"/>
      <c r="H60" s="89"/>
      <c r="I60" s="89"/>
      <c r="J60" s="89"/>
      <c r="K60" s="89"/>
      <c r="L60" s="89"/>
      <c r="M60" s="89"/>
      <c r="N60" s="89"/>
      <c r="O60" s="89"/>
      <c r="P60" s="89"/>
      <c r="Q60" s="89"/>
      <c r="R60" s="89"/>
      <c r="S60" s="89"/>
      <c r="T60" s="89"/>
      <c r="U60" s="89"/>
      <c r="V60" s="91"/>
    </row>
    <row r="61" spans="2:22">
      <c r="B61" s="86"/>
      <c r="C61" s="100"/>
      <c r="D61" s="89"/>
      <c r="E61" s="89"/>
      <c r="F61" s="89"/>
      <c r="G61" s="89"/>
      <c r="H61" s="89"/>
      <c r="I61" s="89"/>
      <c r="J61" s="89"/>
      <c r="K61" s="89"/>
      <c r="L61" s="89"/>
      <c r="M61" s="89"/>
      <c r="N61" s="89"/>
      <c r="O61" s="89"/>
      <c r="P61" s="89"/>
      <c r="Q61" s="89"/>
      <c r="R61" s="89"/>
      <c r="S61" s="89"/>
      <c r="T61" s="89"/>
      <c r="U61" s="89"/>
      <c r="V61" s="91"/>
    </row>
    <row r="62" spans="2:22">
      <c r="B62" s="86"/>
      <c r="C62" s="100"/>
      <c r="D62" s="89"/>
      <c r="E62" s="89"/>
      <c r="F62" s="89"/>
      <c r="G62" s="89"/>
      <c r="H62" s="89"/>
      <c r="I62" s="89"/>
      <c r="J62" s="89"/>
      <c r="K62" s="89"/>
      <c r="L62" s="89"/>
      <c r="M62" s="89"/>
      <c r="N62" s="89"/>
      <c r="O62" s="89"/>
      <c r="P62" s="89"/>
      <c r="Q62" s="89"/>
      <c r="R62" s="89"/>
      <c r="S62" s="89"/>
      <c r="T62" s="89"/>
      <c r="U62" s="89"/>
      <c r="V62" s="91"/>
    </row>
    <row r="63" spans="2:22">
      <c r="B63" s="86"/>
      <c r="C63" s="100"/>
      <c r="D63" s="89"/>
      <c r="E63" s="89"/>
      <c r="F63" s="89"/>
      <c r="G63" s="89"/>
      <c r="H63" s="89"/>
      <c r="I63" s="89"/>
      <c r="J63" s="89"/>
      <c r="K63" s="89"/>
      <c r="L63" s="89"/>
      <c r="M63" s="89"/>
      <c r="N63" s="89"/>
      <c r="O63" s="89"/>
      <c r="P63" s="89"/>
      <c r="Q63" s="89"/>
      <c r="R63" s="89"/>
      <c r="S63" s="89"/>
      <c r="T63" s="89"/>
      <c r="U63" s="89"/>
      <c r="V63" s="91"/>
    </row>
    <row r="64" spans="2:22">
      <c r="B64" s="86"/>
      <c r="C64" s="100"/>
      <c r="D64" s="89"/>
      <c r="E64" s="89"/>
      <c r="F64" s="89"/>
      <c r="G64" s="89"/>
      <c r="H64" s="89"/>
      <c r="I64" s="89"/>
      <c r="J64" s="89"/>
      <c r="K64" s="89"/>
      <c r="L64" s="89"/>
      <c r="M64" s="89"/>
      <c r="N64" s="89"/>
      <c r="O64" s="89"/>
      <c r="P64" s="89"/>
      <c r="Q64" s="89"/>
      <c r="R64" s="89"/>
      <c r="S64" s="89"/>
      <c r="T64" s="89"/>
      <c r="U64" s="89"/>
      <c r="V64" s="91"/>
    </row>
    <row r="65" spans="2:22">
      <c r="B65" s="86"/>
      <c r="C65" s="100"/>
      <c r="D65" s="89"/>
      <c r="E65" s="89"/>
      <c r="F65" s="89"/>
      <c r="G65" s="89"/>
      <c r="H65" s="89"/>
      <c r="I65" s="89"/>
      <c r="J65" s="89"/>
      <c r="K65" s="89"/>
      <c r="L65" s="89"/>
      <c r="M65" s="89"/>
      <c r="N65" s="89"/>
      <c r="O65" s="89"/>
      <c r="P65" s="89"/>
      <c r="Q65" s="89"/>
      <c r="R65" s="89"/>
      <c r="S65" s="89"/>
      <c r="T65" s="89"/>
      <c r="U65" s="89"/>
      <c r="V65" s="91"/>
    </row>
    <row r="66" spans="2:22" ht="23">
      <c r="B66" s="86"/>
      <c r="C66" s="101"/>
      <c r="D66" s="89"/>
      <c r="E66" s="89"/>
      <c r="F66" s="89"/>
      <c r="G66" s="89"/>
      <c r="H66" s="89"/>
      <c r="I66" s="89"/>
      <c r="J66" s="89"/>
      <c r="K66" s="89"/>
      <c r="L66" s="89"/>
      <c r="M66" s="89"/>
      <c r="N66" s="89"/>
      <c r="O66" s="89"/>
      <c r="P66" s="89"/>
      <c r="Q66" s="89"/>
      <c r="R66" s="89"/>
      <c r="S66" s="89"/>
      <c r="T66" s="89"/>
      <c r="U66" s="89"/>
      <c r="V66" s="91"/>
    </row>
    <row r="67" spans="2:22" ht="23">
      <c r="B67" s="86"/>
      <c r="C67" s="101"/>
      <c r="D67" s="89"/>
      <c r="E67" s="89"/>
      <c r="F67" s="89"/>
      <c r="G67" s="89"/>
      <c r="H67" s="89"/>
      <c r="I67" s="89"/>
      <c r="J67" s="89"/>
      <c r="K67" s="89"/>
      <c r="L67" s="89"/>
      <c r="M67" s="89"/>
      <c r="N67" s="89"/>
      <c r="O67" s="89"/>
      <c r="P67" s="89"/>
      <c r="Q67" s="89"/>
      <c r="R67" s="89"/>
      <c r="S67" s="89"/>
      <c r="T67" s="89"/>
      <c r="U67" s="89"/>
      <c r="V67" s="91"/>
    </row>
    <row r="68" spans="2:22" ht="23">
      <c r="B68" s="86"/>
      <c r="C68" s="101"/>
      <c r="D68" s="89"/>
      <c r="E68" s="89"/>
      <c r="F68" s="89"/>
      <c r="G68" s="89"/>
      <c r="H68" s="89"/>
      <c r="I68" s="89"/>
      <c r="J68" s="89"/>
      <c r="K68" s="89"/>
      <c r="L68" s="89"/>
      <c r="M68" s="89"/>
      <c r="N68" s="89"/>
      <c r="O68" s="89"/>
      <c r="P68" s="89"/>
      <c r="Q68" s="89"/>
      <c r="R68" s="89"/>
      <c r="S68" s="89"/>
      <c r="T68" s="89"/>
      <c r="U68" s="89"/>
      <c r="V68" s="91"/>
    </row>
    <row r="69" spans="2:22" ht="23">
      <c r="B69" s="86"/>
      <c r="C69" s="102"/>
      <c r="D69" s="89"/>
      <c r="E69" s="89"/>
      <c r="F69" s="89"/>
      <c r="G69" s="89"/>
      <c r="H69" s="89"/>
      <c r="I69" s="89"/>
      <c r="J69" s="89"/>
      <c r="K69" s="89"/>
      <c r="L69" s="89"/>
      <c r="M69" s="89"/>
      <c r="N69" s="89"/>
      <c r="O69" s="89"/>
      <c r="P69" s="89"/>
      <c r="Q69" s="89"/>
      <c r="R69" s="89"/>
      <c r="S69" s="89"/>
      <c r="T69" s="89"/>
      <c r="U69" s="89"/>
      <c r="V69" s="91"/>
    </row>
    <row r="70" spans="2:22">
      <c r="B70" s="86"/>
      <c r="C70" s="100"/>
      <c r="D70" s="89"/>
      <c r="E70" s="89"/>
      <c r="F70" s="89"/>
      <c r="G70" s="89"/>
      <c r="H70" s="89"/>
      <c r="I70" s="89"/>
      <c r="J70" s="89"/>
      <c r="K70" s="89"/>
      <c r="L70" s="89"/>
      <c r="M70" s="89"/>
      <c r="N70" s="89"/>
      <c r="O70" s="89"/>
      <c r="P70" s="89"/>
      <c r="Q70" s="89"/>
      <c r="R70" s="89"/>
      <c r="S70" s="89"/>
      <c r="T70" s="89"/>
      <c r="U70" s="89"/>
      <c r="V70" s="91"/>
    </row>
    <row r="71" spans="2:22">
      <c r="B71" s="86"/>
      <c r="C71" s="100"/>
      <c r="D71" s="89"/>
      <c r="E71" s="89"/>
      <c r="F71" s="89"/>
      <c r="G71" s="89"/>
      <c r="H71" s="89"/>
      <c r="I71" s="89"/>
      <c r="J71" s="89"/>
      <c r="K71" s="89"/>
      <c r="L71" s="89"/>
      <c r="M71" s="89"/>
      <c r="N71" s="89"/>
      <c r="O71" s="89"/>
      <c r="P71" s="89"/>
      <c r="Q71" s="89"/>
      <c r="R71" s="89"/>
      <c r="S71" s="89"/>
      <c r="T71" s="89"/>
      <c r="U71" s="89"/>
      <c r="V71" s="91"/>
    </row>
    <row r="72" spans="2:22">
      <c r="B72" s="86"/>
      <c r="C72" s="100"/>
      <c r="D72" s="89"/>
      <c r="E72" s="89"/>
      <c r="F72" s="89"/>
      <c r="G72" s="89"/>
      <c r="H72" s="89"/>
      <c r="I72" s="89"/>
      <c r="J72" s="89"/>
      <c r="K72" s="89"/>
      <c r="L72" s="89"/>
      <c r="M72" s="89"/>
      <c r="N72" s="89"/>
      <c r="O72" s="89"/>
      <c r="P72" s="89"/>
      <c r="Q72" s="89"/>
      <c r="R72" s="89"/>
      <c r="S72" s="89"/>
      <c r="T72" s="89"/>
      <c r="U72" s="89"/>
      <c r="V72" s="91"/>
    </row>
    <row r="73" spans="2:22">
      <c r="B73" s="86"/>
      <c r="C73" s="100"/>
      <c r="D73" s="89"/>
      <c r="E73" s="89"/>
      <c r="F73" s="89"/>
      <c r="G73" s="89"/>
      <c r="H73" s="89"/>
      <c r="I73" s="89"/>
      <c r="J73" s="89"/>
      <c r="K73" s="89"/>
      <c r="L73" s="89"/>
      <c r="M73" s="89"/>
      <c r="N73" s="89"/>
      <c r="O73" s="89"/>
      <c r="P73" s="89"/>
      <c r="Q73" s="89"/>
      <c r="R73" s="89"/>
      <c r="S73" s="89"/>
      <c r="T73" s="89"/>
      <c r="U73" s="89"/>
      <c r="V73" s="91"/>
    </row>
    <row r="74" spans="2:22">
      <c r="B74" s="86"/>
      <c r="C74" s="100"/>
      <c r="D74" s="89"/>
      <c r="E74" s="89"/>
      <c r="F74" s="89"/>
      <c r="G74" s="89"/>
      <c r="H74" s="89"/>
      <c r="I74" s="89"/>
      <c r="J74" s="89"/>
      <c r="K74" s="89"/>
      <c r="L74" s="89"/>
      <c r="M74" s="89"/>
      <c r="N74" s="89"/>
      <c r="O74" s="89"/>
      <c r="P74" s="89"/>
      <c r="Q74" s="89"/>
      <c r="R74" s="89"/>
      <c r="S74" s="89"/>
      <c r="T74" s="89"/>
      <c r="U74" s="89"/>
      <c r="V74" s="91"/>
    </row>
    <row r="75" spans="2:22">
      <c r="B75" s="86"/>
      <c r="C75" s="100"/>
      <c r="D75" s="89"/>
      <c r="E75" s="89"/>
      <c r="F75" s="89"/>
      <c r="G75" s="89"/>
      <c r="H75" s="89"/>
      <c r="I75" s="89"/>
      <c r="J75" s="89"/>
      <c r="K75" s="89"/>
      <c r="L75" s="89"/>
      <c r="M75" s="89"/>
      <c r="N75" s="89"/>
      <c r="O75" s="89"/>
      <c r="P75" s="89"/>
      <c r="Q75" s="89"/>
      <c r="R75" s="89"/>
      <c r="S75" s="89"/>
      <c r="T75" s="89"/>
      <c r="U75" s="89"/>
      <c r="V75" s="91"/>
    </row>
    <row r="76" spans="2:22">
      <c r="B76" s="86"/>
      <c r="C76" s="100"/>
      <c r="D76" s="89"/>
      <c r="E76" s="89"/>
      <c r="F76" s="89"/>
      <c r="G76" s="89"/>
      <c r="H76" s="89"/>
      <c r="I76" s="89"/>
      <c r="J76" s="89"/>
      <c r="K76" s="89"/>
      <c r="L76" s="89"/>
      <c r="M76" s="89"/>
      <c r="N76" s="89"/>
      <c r="O76" s="89"/>
      <c r="P76" s="89"/>
      <c r="Q76" s="89"/>
      <c r="R76" s="89"/>
      <c r="S76" s="89"/>
      <c r="T76" s="89"/>
      <c r="U76" s="89"/>
      <c r="V76" s="91"/>
    </row>
    <row r="77" spans="2:22">
      <c r="B77" s="86"/>
      <c r="C77" s="100"/>
      <c r="D77" s="89"/>
      <c r="E77" s="89"/>
      <c r="F77" s="89"/>
      <c r="G77" s="89"/>
      <c r="H77" s="89"/>
      <c r="I77" s="89"/>
      <c r="J77" s="89"/>
      <c r="K77" s="89"/>
      <c r="L77" s="89"/>
      <c r="M77" s="89"/>
      <c r="N77" s="89"/>
      <c r="O77" s="89"/>
      <c r="P77" s="89"/>
      <c r="Q77" s="89"/>
      <c r="R77" s="89"/>
      <c r="S77" s="89"/>
      <c r="T77" s="89"/>
      <c r="U77" s="89"/>
      <c r="V77" s="91"/>
    </row>
    <row r="78" spans="2:22">
      <c r="B78" s="86"/>
      <c r="C78" s="100"/>
      <c r="D78" s="89"/>
      <c r="E78" s="89"/>
      <c r="F78" s="89"/>
      <c r="G78" s="89"/>
      <c r="H78" s="89"/>
      <c r="I78" s="89"/>
      <c r="J78" s="89"/>
      <c r="K78" s="89"/>
      <c r="L78" s="89"/>
      <c r="M78" s="89"/>
      <c r="N78" s="89"/>
      <c r="O78" s="89"/>
      <c r="P78" s="89"/>
      <c r="Q78" s="89"/>
      <c r="R78" s="89"/>
      <c r="S78" s="89"/>
      <c r="T78" s="89"/>
      <c r="U78" s="89"/>
      <c r="V78" s="91"/>
    </row>
    <row r="79" spans="2:22">
      <c r="B79" s="86"/>
      <c r="C79" s="100"/>
      <c r="D79" s="89"/>
      <c r="E79" s="89"/>
      <c r="F79" s="89"/>
      <c r="G79" s="89"/>
      <c r="H79" s="89"/>
      <c r="I79" s="89"/>
      <c r="J79" s="89"/>
      <c r="K79" s="89"/>
      <c r="L79" s="89"/>
      <c r="M79" s="89"/>
      <c r="N79" s="89"/>
      <c r="O79" s="89"/>
      <c r="P79" s="89"/>
      <c r="Q79" s="89"/>
      <c r="R79" s="89"/>
      <c r="S79" s="89"/>
      <c r="T79" s="89"/>
      <c r="U79" s="89"/>
      <c r="V79" s="91"/>
    </row>
    <row r="80" spans="2:22">
      <c r="B80" s="86"/>
      <c r="C80" s="100"/>
      <c r="D80" s="89"/>
      <c r="E80" s="89"/>
      <c r="F80" s="89"/>
      <c r="G80" s="89"/>
      <c r="H80" s="89"/>
      <c r="I80" s="89"/>
      <c r="J80" s="89"/>
      <c r="K80" s="89"/>
      <c r="L80" s="89"/>
      <c r="M80" s="89"/>
      <c r="N80" s="89"/>
      <c r="O80" s="89"/>
      <c r="P80" s="89"/>
      <c r="Q80" s="89"/>
      <c r="R80" s="89"/>
      <c r="S80" s="89"/>
      <c r="T80" s="89"/>
      <c r="U80" s="89"/>
      <c r="V80" s="91"/>
    </row>
    <row r="81" spans="2:22">
      <c r="B81" s="86"/>
      <c r="C81" s="100"/>
      <c r="D81" s="89"/>
      <c r="E81" s="89"/>
      <c r="F81" s="89"/>
      <c r="G81" s="89"/>
      <c r="H81" s="89"/>
      <c r="I81" s="89"/>
      <c r="J81" s="89"/>
      <c r="K81" s="89"/>
      <c r="L81" s="89"/>
      <c r="M81" s="89"/>
      <c r="N81" s="89"/>
      <c r="O81" s="89"/>
      <c r="P81" s="89"/>
      <c r="Q81" s="89"/>
      <c r="R81" s="89"/>
      <c r="S81" s="89"/>
      <c r="T81" s="89"/>
      <c r="U81" s="89"/>
      <c r="V81" s="91"/>
    </row>
    <row r="82" spans="2:22">
      <c r="B82" s="86"/>
      <c r="C82" s="100"/>
      <c r="D82" s="89"/>
      <c r="E82" s="89"/>
      <c r="F82" s="89"/>
      <c r="G82" s="89"/>
      <c r="H82" s="89"/>
      <c r="I82" s="89"/>
      <c r="J82" s="89"/>
      <c r="K82" s="89"/>
      <c r="L82" s="89"/>
      <c r="M82" s="89"/>
      <c r="N82" s="89"/>
      <c r="O82" s="89"/>
      <c r="P82" s="89"/>
      <c r="Q82" s="89"/>
      <c r="R82" s="89"/>
      <c r="S82" s="89"/>
      <c r="T82" s="89"/>
      <c r="U82" s="89"/>
      <c r="V82" s="91"/>
    </row>
    <row r="83" spans="2:22">
      <c r="B83" s="86"/>
      <c r="C83" s="100"/>
      <c r="D83" s="89"/>
      <c r="E83" s="89"/>
      <c r="F83" s="89"/>
      <c r="G83" s="89"/>
      <c r="H83" s="89"/>
      <c r="I83" s="89"/>
      <c r="J83" s="89"/>
      <c r="K83" s="89"/>
      <c r="L83" s="89"/>
      <c r="M83" s="89"/>
      <c r="N83" s="89"/>
      <c r="O83" s="89"/>
      <c r="P83" s="89"/>
      <c r="Q83" s="89"/>
      <c r="R83" s="89"/>
      <c r="S83" s="89"/>
      <c r="T83" s="89"/>
      <c r="U83" s="89"/>
      <c r="V83" s="91"/>
    </row>
    <row r="84" spans="2:22">
      <c r="B84" s="86"/>
      <c r="C84" s="100"/>
      <c r="D84" s="89"/>
      <c r="E84" s="89"/>
      <c r="F84" s="89"/>
      <c r="G84" s="89"/>
      <c r="H84" s="89"/>
      <c r="I84" s="89"/>
      <c r="J84" s="89"/>
      <c r="K84" s="89"/>
      <c r="L84" s="89"/>
      <c r="M84" s="89"/>
      <c r="N84" s="89"/>
      <c r="O84" s="89"/>
      <c r="P84" s="89"/>
      <c r="Q84" s="89"/>
      <c r="R84" s="89"/>
      <c r="S84" s="89"/>
      <c r="T84" s="89"/>
      <c r="U84" s="89"/>
      <c r="V84" s="91"/>
    </row>
    <row r="85" spans="2:22">
      <c r="B85" s="103" t="s">
        <v>59</v>
      </c>
      <c r="C85" s="104"/>
      <c r="D85" s="104"/>
      <c r="E85" s="104"/>
      <c r="F85" s="104"/>
      <c r="G85" s="104"/>
      <c r="H85" s="104"/>
      <c r="I85" s="104"/>
      <c r="J85" s="104"/>
      <c r="K85" s="104"/>
      <c r="L85" s="104"/>
      <c r="M85" s="104"/>
      <c r="N85" s="104"/>
      <c r="O85" s="104"/>
      <c r="P85" s="104"/>
      <c r="Q85" s="104"/>
      <c r="R85" s="104"/>
      <c r="S85" s="104"/>
      <c r="T85" s="104"/>
      <c r="U85" s="104"/>
      <c r="V85" s="105"/>
    </row>
    <row r="86" spans="2:22">
      <c r="B86" s="103"/>
      <c r="C86" s="104"/>
      <c r="D86" s="104"/>
      <c r="E86" s="104"/>
      <c r="F86" s="104"/>
      <c r="G86" s="104"/>
      <c r="H86" s="104"/>
      <c r="I86" s="104"/>
      <c r="J86" s="104"/>
      <c r="K86" s="104"/>
      <c r="L86" s="104"/>
      <c r="M86" s="104"/>
      <c r="N86" s="104"/>
      <c r="O86" s="104"/>
      <c r="P86" s="104"/>
      <c r="Q86" s="104"/>
      <c r="R86" s="104"/>
      <c r="S86" s="104"/>
      <c r="T86" s="104"/>
      <c r="U86" s="104"/>
      <c r="V86" s="105"/>
    </row>
    <row r="87" spans="2:22" ht="25">
      <c r="B87" s="110" t="s">
        <v>64</v>
      </c>
      <c r="C87" s="107"/>
      <c r="D87" s="108"/>
      <c r="E87" s="108"/>
      <c r="F87" s="108"/>
      <c r="G87" s="108"/>
      <c r="H87" s="108"/>
      <c r="I87" s="108"/>
      <c r="J87" s="89"/>
      <c r="K87" s="89"/>
      <c r="L87" s="89"/>
      <c r="M87" s="89"/>
      <c r="N87" s="89"/>
      <c r="O87" s="89"/>
      <c r="P87" s="89"/>
      <c r="Q87" s="89"/>
      <c r="R87" s="89"/>
      <c r="S87" s="89"/>
      <c r="T87" s="89"/>
      <c r="U87" s="89"/>
      <c r="V87" s="91"/>
    </row>
    <row r="88" spans="2:22" ht="25">
      <c r="B88" s="110" t="s">
        <v>65</v>
      </c>
      <c r="C88" s="107"/>
      <c r="D88" s="108"/>
      <c r="E88" s="108"/>
      <c r="F88" s="108"/>
      <c r="G88" s="108"/>
      <c r="H88" s="108"/>
      <c r="I88" s="108"/>
      <c r="J88" s="89"/>
      <c r="K88" s="89"/>
      <c r="L88" s="89"/>
      <c r="M88" s="89"/>
      <c r="N88" s="89"/>
      <c r="O88" s="89"/>
      <c r="P88" s="89"/>
      <c r="Q88" s="89"/>
      <c r="R88" s="89"/>
      <c r="S88" s="89"/>
      <c r="T88" s="89"/>
      <c r="U88" s="89"/>
      <c r="V88" s="91"/>
    </row>
    <row r="89" spans="2:22" ht="25">
      <c r="B89" s="113" t="s">
        <v>66</v>
      </c>
      <c r="C89" s="100"/>
      <c r="D89" s="89"/>
      <c r="E89" s="89"/>
      <c r="F89" s="89"/>
      <c r="G89" s="89"/>
      <c r="H89" s="89"/>
      <c r="I89" s="89"/>
      <c r="J89" s="89"/>
      <c r="K89" s="89"/>
      <c r="L89" s="89"/>
      <c r="M89" s="89"/>
      <c r="N89" s="89"/>
      <c r="O89" s="89"/>
      <c r="P89" s="89"/>
      <c r="Q89" s="89"/>
      <c r="R89" s="89"/>
      <c r="S89" s="89"/>
      <c r="T89" s="89"/>
      <c r="U89" s="89"/>
      <c r="V89" s="91"/>
    </row>
    <row r="90" spans="2:22" ht="17" thickBot="1">
      <c r="B90" s="92"/>
      <c r="C90" s="112"/>
      <c r="D90" s="94"/>
      <c r="E90" s="94"/>
      <c r="F90" s="94"/>
      <c r="G90" s="94"/>
      <c r="H90" s="94"/>
      <c r="I90" s="94"/>
      <c r="J90" s="94"/>
      <c r="K90" s="94"/>
      <c r="L90" s="94"/>
      <c r="M90" s="94"/>
      <c r="N90" s="94"/>
      <c r="O90" s="94"/>
      <c r="P90" s="94"/>
      <c r="Q90" s="94"/>
      <c r="R90" s="94"/>
      <c r="S90" s="94"/>
      <c r="T90" s="94"/>
      <c r="U90" s="94"/>
      <c r="V90" s="96"/>
    </row>
    <row r="93" spans="2:22" ht="17" thickBot="1"/>
    <row r="94" spans="2:22">
      <c r="B94" s="80" t="s">
        <v>63</v>
      </c>
      <c r="C94" s="81"/>
      <c r="D94" s="81"/>
      <c r="E94" s="81"/>
      <c r="F94" s="81"/>
      <c r="G94" s="81"/>
      <c r="H94" s="81"/>
      <c r="I94" s="81"/>
      <c r="J94" s="81"/>
      <c r="K94" s="81"/>
      <c r="L94" s="81"/>
      <c r="M94" s="81"/>
      <c r="N94" s="81"/>
      <c r="O94" s="81"/>
      <c r="P94" s="81"/>
      <c r="Q94" s="81"/>
      <c r="R94" s="81"/>
      <c r="S94" s="81"/>
      <c r="T94" s="81"/>
      <c r="U94" s="81"/>
      <c r="V94" s="82"/>
    </row>
    <row r="95" spans="2:22">
      <c r="B95" s="83"/>
      <c r="C95" s="84"/>
      <c r="D95" s="84"/>
      <c r="E95" s="84"/>
      <c r="F95" s="84"/>
      <c r="G95" s="84"/>
      <c r="H95" s="84"/>
      <c r="I95" s="84"/>
      <c r="J95" s="84"/>
      <c r="K95" s="84"/>
      <c r="L95" s="84"/>
      <c r="M95" s="84"/>
      <c r="N95" s="84"/>
      <c r="O95" s="84"/>
      <c r="P95" s="84"/>
      <c r="Q95" s="84"/>
      <c r="R95" s="84"/>
      <c r="S95" s="84"/>
      <c r="T95" s="84"/>
      <c r="U95" s="84"/>
      <c r="V95" s="85"/>
    </row>
    <row r="96" spans="2:22">
      <c r="B96" s="83"/>
      <c r="C96" s="84"/>
      <c r="D96" s="84"/>
      <c r="E96" s="84"/>
      <c r="F96" s="84"/>
      <c r="G96" s="84"/>
      <c r="H96" s="84"/>
      <c r="I96" s="84"/>
      <c r="J96" s="84"/>
      <c r="K96" s="84"/>
      <c r="L96" s="84"/>
      <c r="M96" s="84"/>
      <c r="N96" s="84"/>
      <c r="O96" s="84"/>
      <c r="P96" s="84"/>
      <c r="Q96" s="84"/>
      <c r="R96" s="84"/>
      <c r="S96" s="84"/>
      <c r="T96" s="84"/>
      <c r="U96" s="84"/>
      <c r="V96" s="85"/>
    </row>
    <row r="97" spans="2:22" ht="29" customHeight="1">
      <c r="B97" s="86"/>
      <c r="C97" s="100"/>
      <c r="D97" s="89"/>
      <c r="E97" s="89"/>
      <c r="F97" s="89"/>
      <c r="G97" s="89"/>
      <c r="H97" s="89"/>
      <c r="I97" s="89"/>
      <c r="J97" s="89"/>
      <c r="K97" s="89"/>
      <c r="L97" s="114" t="s">
        <v>67</v>
      </c>
      <c r="M97" s="114"/>
      <c r="N97" s="114"/>
      <c r="O97" s="114"/>
      <c r="P97" s="114"/>
      <c r="Q97" s="114"/>
      <c r="R97" s="114"/>
      <c r="S97" s="114"/>
      <c r="T97" s="114"/>
      <c r="U97" s="114"/>
      <c r="V97" s="115"/>
    </row>
    <row r="98" spans="2:22" ht="25" customHeight="1">
      <c r="B98" s="86"/>
      <c r="C98" s="100"/>
      <c r="D98" s="89"/>
      <c r="E98" s="89"/>
      <c r="F98" s="89"/>
      <c r="G98" s="89"/>
      <c r="H98" s="89"/>
      <c r="I98" s="89"/>
      <c r="J98" s="89"/>
      <c r="K98" s="89"/>
      <c r="L98" s="114"/>
      <c r="M98" s="114"/>
      <c r="N98" s="114"/>
      <c r="O98" s="114"/>
      <c r="P98" s="114"/>
      <c r="Q98" s="114"/>
      <c r="R98" s="114"/>
      <c r="S98" s="114"/>
      <c r="T98" s="114"/>
      <c r="U98" s="114"/>
      <c r="V98" s="115"/>
    </row>
    <row r="99" spans="2:22" ht="16" customHeight="1">
      <c r="B99" s="86"/>
      <c r="C99" s="100"/>
      <c r="D99" s="89"/>
      <c r="E99" s="89"/>
      <c r="F99" s="89"/>
      <c r="G99" s="89"/>
      <c r="H99" s="89"/>
      <c r="I99" s="89"/>
      <c r="J99" s="89"/>
      <c r="K99" s="89"/>
      <c r="L99" s="116" t="s">
        <v>68</v>
      </c>
      <c r="M99" s="116"/>
      <c r="N99" s="116"/>
      <c r="O99" s="116"/>
      <c r="P99" s="116"/>
      <c r="Q99" s="116"/>
      <c r="R99" s="116"/>
      <c r="S99" s="116"/>
      <c r="T99" s="116"/>
      <c r="U99" s="116"/>
      <c r="V99" s="117"/>
    </row>
    <row r="100" spans="2:22" ht="16" customHeight="1">
      <c r="B100" s="86"/>
      <c r="C100" s="100"/>
      <c r="D100" s="89"/>
      <c r="E100" s="89"/>
      <c r="F100" s="89"/>
      <c r="G100" s="89"/>
      <c r="H100" s="89"/>
      <c r="I100" s="89"/>
      <c r="J100" s="89"/>
      <c r="K100" s="89"/>
      <c r="L100" s="116"/>
      <c r="M100" s="116"/>
      <c r="N100" s="116"/>
      <c r="O100" s="116"/>
      <c r="P100" s="116"/>
      <c r="Q100" s="116"/>
      <c r="R100" s="116"/>
      <c r="S100" s="116"/>
      <c r="T100" s="116"/>
      <c r="U100" s="116"/>
      <c r="V100" s="117"/>
    </row>
    <row r="101" spans="2:22">
      <c r="B101" s="86"/>
      <c r="C101" s="100"/>
      <c r="D101" s="89"/>
      <c r="E101" s="89"/>
      <c r="F101" s="89"/>
      <c r="G101" s="89"/>
      <c r="H101" s="89"/>
      <c r="I101" s="89"/>
      <c r="J101" s="89"/>
      <c r="K101" s="89"/>
      <c r="L101" s="116"/>
      <c r="M101" s="116"/>
      <c r="N101" s="116"/>
      <c r="O101" s="116"/>
      <c r="P101" s="116"/>
      <c r="Q101" s="116"/>
      <c r="R101" s="116"/>
      <c r="S101" s="116"/>
      <c r="T101" s="116"/>
      <c r="U101" s="116"/>
      <c r="V101" s="117"/>
    </row>
    <row r="102" spans="2:22" ht="25" customHeight="1">
      <c r="B102" s="86"/>
      <c r="C102" s="100"/>
      <c r="D102" s="89"/>
      <c r="E102" s="89"/>
      <c r="F102" s="89"/>
      <c r="G102" s="89"/>
      <c r="H102" s="89"/>
      <c r="I102" s="89"/>
      <c r="J102" s="89"/>
      <c r="K102" s="89"/>
      <c r="L102" s="116" t="s">
        <v>69</v>
      </c>
      <c r="M102" s="116"/>
      <c r="N102" s="116"/>
      <c r="O102" s="116"/>
      <c r="P102" s="116"/>
      <c r="Q102" s="116"/>
      <c r="R102" s="116"/>
      <c r="S102" s="116"/>
      <c r="T102" s="116"/>
      <c r="U102" s="116"/>
      <c r="V102" s="117"/>
    </row>
    <row r="103" spans="2:22">
      <c r="B103" s="86"/>
      <c r="C103" s="100"/>
      <c r="D103" s="89"/>
      <c r="E103" s="89"/>
      <c r="F103" s="89"/>
      <c r="G103" s="89"/>
      <c r="H103" s="89"/>
      <c r="I103" s="89"/>
      <c r="J103" s="89"/>
      <c r="K103" s="89"/>
      <c r="L103" s="116"/>
      <c r="M103" s="116"/>
      <c r="N103" s="116"/>
      <c r="O103" s="116"/>
      <c r="P103" s="116"/>
      <c r="Q103" s="116"/>
      <c r="R103" s="116"/>
      <c r="S103" s="116"/>
      <c r="T103" s="116"/>
      <c r="U103" s="116"/>
      <c r="V103" s="117"/>
    </row>
    <row r="104" spans="2:22" ht="28">
      <c r="B104" s="86"/>
      <c r="C104" s="100"/>
      <c r="D104" s="89"/>
      <c r="E104" s="89"/>
      <c r="F104" s="89"/>
      <c r="G104" s="89"/>
      <c r="H104" s="89"/>
      <c r="I104" s="89"/>
      <c r="J104" s="89"/>
      <c r="K104" s="89"/>
      <c r="L104" s="118" t="s">
        <v>75</v>
      </c>
      <c r="M104" s="89"/>
      <c r="N104" s="89"/>
      <c r="O104" s="89"/>
      <c r="P104" s="89"/>
      <c r="Q104" s="89"/>
      <c r="R104" s="89"/>
      <c r="S104" s="89"/>
      <c r="T104" s="89"/>
      <c r="U104" s="89"/>
      <c r="V104" s="91"/>
    </row>
    <row r="105" spans="2:22" ht="25" customHeight="1">
      <c r="B105" s="86"/>
      <c r="C105" s="101"/>
      <c r="D105" s="89"/>
      <c r="E105" s="89"/>
      <c r="F105" s="89"/>
      <c r="G105" s="89"/>
      <c r="H105" s="89"/>
      <c r="I105" s="89"/>
      <c r="J105" s="89"/>
      <c r="K105" s="89"/>
      <c r="L105" s="119" t="s">
        <v>70</v>
      </c>
      <c r="M105" s="119"/>
      <c r="N105" s="119"/>
      <c r="O105" s="119"/>
      <c r="P105" s="119"/>
      <c r="Q105" s="119"/>
      <c r="R105" s="119"/>
      <c r="S105" s="119"/>
      <c r="T105" s="119"/>
      <c r="U105" s="119"/>
      <c r="V105" s="117"/>
    </row>
    <row r="106" spans="2:22" ht="23">
      <c r="B106" s="86"/>
      <c r="C106" s="101"/>
      <c r="D106" s="89"/>
      <c r="E106" s="89"/>
      <c r="F106" s="89"/>
      <c r="G106" s="89"/>
      <c r="H106" s="89"/>
      <c r="I106" s="89"/>
      <c r="J106" s="89"/>
      <c r="K106" s="89"/>
      <c r="L106" s="119"/>
      <c r="M106" s="119"/>
      <c r="N106" s="119"/>
      <c r="O106" s="119"/>
      <c r="P106" s="119"/>
      <c r="Q106" s="119"/>
      <c r="R106" s="119"/>
      <c r="S106" s="119"/>
      <c r="T106" s="119"/>
      <c r="U106" s="119"/>
      <c r="V106" s="117"/>
    </row>
    <row r="107" spans="2:22" ht="25">
      <c r="B107" s="86"/>
      <c r="C107" s="101"/>
      <c r="D107" s="89"/>
      <c r="E107" s="89"/>
      <c r="F107" s="89"/>
      <c r="G107" s="89"/>
      <c r="H107" s="89"/>
      <c r="I107" s="89"/>
      <c r="J107" s="89"/>
      <c r="K107" s="89"/>
      <c r="L107" s="116" t="s">
        <v>71</v>
      </c>
      <c r="M107" s="116"/>
      <c r="N107" s="116"/>
      <c r="O107" s="116"/>
      <c r="P107" s="116"/>
      <c r="Q107" s="116"/>
      <c r="R107" s="116"/>
      <c r="S107" s="116"/>
      <c r="T107" s="116"/>
      <c r="U107" s="116"/>
      <c r="V107" s="117"/>
    </row>
    <row r="108" spans="2:22" ht="25">
      <c r="B108" s="86"/>
      <c r="C108" s="102"/>
      <c r="D108" s="89"/>
      <c r="E108" s="89"/>
      <c r="F108" s="89"/>
      <c r="G108" s="89"/>
      <c r="H108" s="89"/>
      <c r="I108" s="89"/>
      <c r="J108" s="89"/>
      <c r="K108" s="89"/>
      <c r="L108" s="116" t="s">
        <v>72</v>
      </c>
      <c r="M108" s="116"/>
      <c r="N108" s="116"/>
      <c r="O108" s="116"/>
      <c r="P108" s="116"/>
      <c r="Q108" s="116"/>
      <c r="R108" s="116"/>
      <c r="S108" s="116"/>
      <c r="T108" s="116"/>
      <c r="U108" s="116"/>
      <c r="V108" s="117"/>
    </row>
    <row r="109" spans="2:22" ht="25">
      <c r="B109" s="86"/>
      <c r="C109" s="100"/>
      <c r="D109" s="89"/>
      <c r="E109" s="89"/>
      <c r="F109" s="89"/>
      <c r="G109" s="89"/>
      <c r="H109" s="89"/>
      <c r="I109" s="89"/>
      <c r="J109" s="89"/>
      <c r="K109" s="89"/>
      <c r="L109" s="120" t="s">
        <v>73</v>
      </c>
      <c r="M109" s="120"/>
      <c r="N109" s="120"/>
      <c r="O109" s="120"/>
      <c r="P109" s="120"/>
      <c r="Q109" s="120"/>
      <c r="R109" s="120"/>
      <c r="S109" s="120"/>
      <c r="T109" s="120"/>
      <c r="U109" s="120"/>
      <c r="V109" s="121"/>
    </row>
    <row r="110" spans="2:22" ht="25" customHeight="1">
      <c r="B110" s="86"/>
      <c r="C110" s="100"/>
      <c r="D110" s="89"/>
      <c r="E110" s="89"/>
      <c r="F110" s="89"/>
      <c r="G110" s="89"/>
      <c r="H110" s="89"/>
      <c r="I110" s="89"/>
      <c r="J110" s="89"/>
      <c r="K110" s="89"/>
      <c r="L110" s="116" t="s">
        <v>74</v>
      </c>
      <c r="M110" s="116"/>
      <c r="N110" s="116"/>
      <c r="O110" s="116"/>
      <c r="P110" s="116"/>
      <c r="Q110" s="116"/>
      <c r="R110" s="116"/>
      <c r="S110" s="116"/>
      <c r="T110" s="116"/>
      <c r="U110" s="116"/>
      <c r="V110" s="117"/>
    </row>
    <row r="111" spans="2:22" ht="16" customHeight="1">
      <c r="B111" s="86"/>
      <c r="C111" s="100"/>
      <c r="D111" s="89"/>
      <c r="E111" s="89"/>
      <c r="F111" s="89"/>
      <c r="G111" s="89"/>
      <c r="H111" s="89"/>
      <c r="I111" s="89"/>
      <c r="J111" s="89"/>
      <c r="K111" s="89"/>
      <c r="L111" s="116"/>
      <c r="M111" s="116"/>
      <c r="N111" s="116"/>
      <c r="O111" s="116"/>
      <c r="P111" s="116"/>
      <c r="Q111" s="116"/>
      <c r="R111" s="116"/>
      <c r="S111" s="116"/>
      <c r="T111" s="116"/>
      <c r="U111" s="116"/>
      <c r="V111" s="117"/>
    </row>
    <row r="112" spans="2:22">
      <c r="B112" s="86"/>
      <c r="C112" s="100"/>
      <c r="D112" s="89"/>
      <c r="E112" s="89"/>
      <c r="F112" s="89"/>
      <c r="G112" s="89"/>
      <c r="H112" s="89"/>
      <c r="I112" s="89"/>
      <c r="J112" s="89"/>
      <c r="K112" s="89"/>
      <c r="L112" s="116"/>
      <c r="M112" s="116"/>
      <c r="N112" s="116"/>
      <c r="O112" s="116"/>
      <c r="P112" s="116"/>
      <c r="Q112" s="116"/>
      <c r="R112" s="116"/>
      <c r="S112" s="116"/>
      <c r="T112" s="116"/>
      <c r="U112" s="116"/>
      <c r="V112" s="117"/>
    </row>
    <row r="113" spans="2:22" ht="28">
      <c r="B113" s="86"/>
      <c r="C113" s="100"/>
      <c r="D113" s="89"/>
      <c r="E113" s="89"/>
      <c r="F113" s="89"/>
      <c r="G113" s="89"/>
      <c r="H113" s="89"/>
      <c r="I113" s="89"/>
      <c r="J113" s="89"/>
      <c r="K113" s="89"/>
      <c r="L113" s="118" t="s">
        <v>76</v>
      </c>
      <c r="M113" s="89"/>
      <c r="N113" s="89"/>
      <c r="O113" s="89"/>
      <c r="P113" s="89"/>
      <c r="Q113" s="89"/>
      <c r="R113" s="89"/>
      <c r="S113" s="89"/>
      <c r="T113" s="89"/>
      <c r="U113" s="89"/>
      <c r="V113" s="91"/>
    </row>
    <row r="114" spans="2:22" ht="25" customHeight="1">
      <c r="B114" s="86"/>
      <c r="C114" s="100"/>
      <c r="D114" s="89"/>
      <c r="E114" s="89"/>
      <c r="F114" s="89"/>
      <c r="G114" s="89"/>
      <c r="H114" s="89"/>
      <c r="I114" s="89"/>
      <c r="J114" s="89"/>
      <c r="K114" s="89"/>
      <c r="L114" s="116" t="s">
        <v>77</v>
      </c>
      <c r="M114" s="116"/>
      <c r="N114" s="116"/>
      <c r="O114" s="116"/>
      <c r="P114" s="116"/>
      <c r="Q114" s="116"/>
      <c r="R114" s="116"/>
      <c r="S114" s="116"/>
      <c r="T114" s="116"/>
      <c r="U114" s="116"/>
      <c r="V114" s="117"/>
    </row>
    <row r="115" spans="2:22" ht="16" customHeight="1">
      <c r="B115" s="86"/>
      <c r="C115" s="100"/>
      <c r="D115" s="89"/>
      <c r="E115" s="89"/>
      <c r="F115" s="89"/>
      <c r="G115" s="89"/>
      <c r="H115" s="89"/>
      <c r="I115" s="89"/>
      <c r="J115" s="89"/>
      <c r="K115" s="89"/>
      <c r="L115" s="116"/>
      <c r="M115" s="116"/>
      <c r="N115" s="116"/>
      <c r="O115" s="116"/>
      <c r="P115" s="116"/>
      <c r="Q115" s="116"/>
      <c r="R115" s="116"/>
      <c r="S115" s="116"/>
      <c r="T115" s="116"/>
      <c r="U115" s="116"/>
      <c r="V115" s="117"/>
    </row>
    <row r="116" spans="2:22" ht="16" customHeight="1">
      <c r="B116" s="86"/>
      <c r="C116" s="100"/>
      <c r="D116" s="89"/>
      <c r="E116" s="89"/>
      <c r="F116" s="89"/>
      <c r="G116" s="89"/>
      <c r="H116" s="89"/>
      <c r="I116" s="89"/>
      <c r="J116" s="89"/>
      <c r="K116" s="89"/>
      <c r="L116" s="116"/>
      <c r="M116" s="116"/>
      <c r="N116" s="116"/>
      <c r="O116" s="116"/>
      <c r="P116" s="116"/>
      <c r="Q116" s="116"/>
      <c r="R116" s="116"/>
      <c r="S116" s="116"/>
      <c r="T116" s="116"/>
      <c r="U116" s="116"/>
      <c r="V116" s="117"/>
    </row>
    <row r="117" spans="2:22" ht="16" customHeight="1">
      <c r="B117" s="86"/>
      <c r="C117" s="100"/>
      <c r="D117" s="89"/>
      <c r="E117" s="89"/>
      <c r="F117" s="89"/>
      <c r="G117" s="89"/>
      <c r="H117" s="89"/>
      <c r="I117" s="89"/>
      <c r="J117" s="89"/>
      <c r="K117" s="89"/>
      <c r="L117" s="116" t="s">
        <v>78</v>
      </c>
      <c r="M117" s="116"/>
      <c r="N117" s="116"/>
      <c r="O117" s="116"/>
      <c r="P117" s="116"/>
      <c r="Q117" s="116"/>
      <c r="R117" s="116"/>
      <c r="S117" s="116"/>
      <c r="T117" s="116"/>
      <c r="U117" s="116"/>
      <c r="V117" s="117"/>
    </row>
    <row r="118" spans="2:22" ht="16" customHeight="1">
      <c r="B118" s="86"/>
      <c r="C118" s="100"/>
      <c r="D118" s="89"/>
      <c r="E118" s="89"/>
      <c r="F118" s="89"/>
      <c r="G118" s="89"/>
      <c r="H118" s="89"/>
      <c r="I118" s="89"/>
      <c r="J118" s="89"/>
      <c r="K118" s="89"/>
      <c r="L118" s="116"/>
      <c r="M118" s="116"/>
      <c r="N118" s="116"/>
      <c r="O118" s="116"/>
      <c r="P118" s="116"/>
      <c r="Q118" s="116"/>
      <c r="R118" s="116"/>
      <c r="S118" s="116"/>
      <c r="T118" s="116"/>
      <c r="U118" s="116"/>
      <c r="V118" s="117"/>
    </row>
    <row r="119" spans="2:22" ht="16" customHeight="1">
      <c r="B119" s="86"/>
      <c r="C119" s="100"/>
      <c r="D119" s="89"/>
      <c r="E119" s="89"/>
      <c r="F119" s="89"/>
      <c r="G119" s="89"/>
      <c r="H119" s="89"/>
      <c r="I119" s="89"/>
      <c r="J119" s="89"/>
      <c r="K119" s="89"/>
      <c r="L119" s="116"/>
      <c r="M119" s="116"/>
      <c r="N119" s="116"/>
      <c r="O119" s="116"/>
      <c r="P119" s="116"/>
      <c r="Q119" s="116"/>
      <c r="R119" s="116"/>
      <c r="S119" s="116"/>
      <c r="T119" s="116"/>
      <c r="U119" s="116"/>
      <c r="V119" s="117"/>
    </row>
    <row r="120" spans="2:22" ht="16" customHeight="1">
      <c r="B120" s="86"/>
      <c r="C120" s="100"/>
      <c r="D120" s="89"/>
      <c r="E120" s="89"/>
      <c r="F120" s="89"/>
      <c r="G120" s="89"/>
      <c r="H120" s="89"/>
      <c r="I120" s="89"/>
      <c r="J120" s="89"/>
      <c r="K120" s="89"/>
      <c r="L120" s="116"/>
      <c r="M120" s="116"/>
      <c r="N120" s="116"/>
      <c r="O120" s="116"/>
      <c r="P120" s="116"/>
      <c r="Q120" s="116"/>
      <c r="R120" s="116"/>
      <c r="S120" s="116"/>
      <c r="T120" s="116"/>
      <c r="U120" s="116"/>
      <c r="V120" s="117"/>
    </row>
    <row r="121" spans="2:22" ht="16" customHeight="1">
      <c r="B121" s="86"/>
      <c r="C121" s="100"/>
      <c r="D121" s="89"/>
      <c r="E121" s="89"/>
      <c r="F121" s="89"/>
      <c r="G121" s="89"/>
      <c r="H121" s="89"/>
      <c r="I121" s="89"/>
      <c r="J121" s="89"/>
      <c r="K121" s="89"/>
      <c r="L121" s="116" t="s">
        <v>79</v>
      </c>
      <c r="M121" s="116"/>
      <c r="N121" s="116"/>
      <c r="O121" s="116"/>
      <c r="P121" s="116"/>
      <c r="Q121" s="116"/>
      <c r="R121" s="116"/>
      <c r="S121" s="116"/>
      <c r="T121" s="116"/>
      <c r="U121" s="116"/>
      <c r="V121" s="117"/>
    </row>
    <row r="122" spans="2:22" ht="16" customHeight="1">
      <c r="B122" s="86"/>
      <c r="C122" s="100"/>
      <c r="D122" s="89"/>
      <c r="E122" s="89"/>
      <c r="F122" s="89"/>
      <c r="G122" s="89"/>
      <c r="H122" s="89"/>
      <c r="I122" s="89"/>
      <c r="J122" s="89"/>
      <c r="K122" s="89"/>
      <c r="L122" s="116"/>
      <c r="M122" s="116"/>
      <c r="N122" s="116"/>
      <c r="O122" s="116"/>
      <c r="P122" s="116"/>
      <c r="Q122" s="116"/>
      <c r="R122" s="116"/>
      <c r="S122" s="116"/>
      <c r="T122" s="116"/>
      <c r="U122" s="116"/>
      <c r="V122" s="117"/>
    </row>
    <row r="123" spans="2:22">
      <c r="B123" s="86"/>
      <c r="C123" s="100"/>
      <c r="D123" s="89"/>
      <c r="E123" s="89"/>
      <c r="F123" s="89"/>
      <c r="G123" s="89"/>
      <c r="H123" s="89"/>
      <c r="I123" s="89"/>
      <c r="J123" s="89"/>
      <c r="K123" s="89"/>
      <c r="L123" s="116"/>
      <c r="M123" s="116"/>
      <c r="N123" s="116"/>
      <c r="O123" s="116"/>
      <c r="P123" s="116"/>
      <c r="Q123" s="116"/>
      <c r="R123" s="116"/>
      <c r="S123" s="116"/>
      <c r="T123" s="116"/>
      <c r="U123" s="116"/>
      <c r="V123" s="117"/>
    </row>
    <row r="124" spans="2:22">
      <c r="B124" s="86"/>
      <c r="C124" s="100"/>
      <c r="D124" s="89"/>
      <c r="E124" s="89"/>
      <c r="F124" s="89"/>
      <c r="G124" s="89"/>
      <c r="H124" s="89"/>
      <c r="I124" s="89"/>
      <c r="J124" s="89"/>
      <c r="K124" s="89"/>
      <c r="L124" s="116"/>
      <c r="M124" s="116"/>
      <c r="N124" s="116"/>
      <c r="O124" s="116"/>
      <c r="P124" s="116"/>
      <c r="Q124" s="116"/>
      <c r="R124" s="116"/>
      <c r="S124" s="116"/>
      <c r="T124" s="116"/>
      <c r="U124" s="116"/>
      <c r="V124" s="117"/>
    </row>
    <row r="125" spans="2:22">
      <c r="B125" s="86"/>
      <c r="C125" s="100"/>
      <c r="D125" s="89"/>
      <c r="E125" s="89"/>
      <c r="F125" s="89"/>
      <c r="G125" s="89"/>
      <c r="H125" s="89"/>
      <c r="I125" s="89"/>
      <c r="J125" s="89"/>
      <c r="K125" s="89"/>
      <c r="L125" s="89"/>
      <c r="M125" s="89"/>
      <c r="N125" s="89"/>
      <c r="O125" s="89"/>
      <c r="P125" s="89"/>
      <c r="Q125" s="89"/>
      <c r="R125" s="89"/>
      <c r="S125" s="89"/>
      <c r="T125" s="89"/>
      <c r="U125" s="89"/>
      <c r="V125" s="91"/>
    </row>
    <row r="126" spans="2:22" ht="17" thickBot="1">
      <c r="B126" s="92"/>
      <c r="C126" s="112"/>
      <c r="D126" s="94"/>
      <c r="E126" s="94"/>
      <c r="F126" s="94"/>
      <c r="G126" s="94"/>
      <c r="H126" s="94"/>
      <c r="I126" s="94"/>
      <c r="J126" s="94"/>
      <c r="K126" s="94"/>
      <c r="L126" s="94"/>
      <c r="M126" s="94"/>
      <c r="N126" s="94"/>
      <c r="O126" s="94"/>
      <c r="P126" s="94"/>
      <c r="Q126" s="94"/>
      <c r="R126" s="94"/>
      <c r="S126" s="94"/>
      <c r="T126" s="94"/>
      <c r="U126" s="94"/>
      <c r="V126" s="96"/>
    </row>
  </sheetData>
  <mergeCells count="26">
    <mergeCell ref="L110:V112"/>
    <mergeCell ref="L114:V116"/>
    <mergeCell ref="L117:V120"/>
    <mergeCell ref="L121:V124"/>
    <mergeCell ref="L102:V103"/>
    <mergeCell ref="L105:V106"/>
    <mergeCell ref="L107:V107"/>
    <mergeCell ref="L108:V108"/>
    <mergeCell ref="L109:V109"/>
    <mergeCell ref="L97:V98"/>
    <mergeCell ref="L99:V101"/>
    <mergeCell ref="B55:V57"/>
    <mergeCell ref="B94:V96"/>
    <mergeCell ref="B46:V47"/>
    <mergeCell ref="B85:V86"/>
    <mergeCell ref="B5:V6"/>
    <mergeCell ref="B14:V16"/>
    <mergeCell ref="M7:P7"/>
    <mergeCell ref="M9:P9"/>
    <mergeCell ref="R7:U7"/>
    <mergeCell ref="R9:U9"/>
    <mergeCell ref="A3:K3"/>
    <mergeCell ref="H7:K7"/>
    <mergeCell ref="H9:K9"/>
    <mergeCell ref="C7:F7"/>
    <mergeCell ref="C9:F9"/>
  </mergeCells>
  <phoneticPr fontId="6" type="noConversion"/>
  <hyperlinks>
    <hyperlink ref="A3" r:id="rId1" xr:uid="{5514DEA1-AD5C-DD44-B6AF-6B2DE7A345DC}"/>
  </hyperlinks>
  <pageMargins left="0.7" right="0.7" top="0.75" bottom="0.75" header="0.3" footer="0.3"/>
  <pageSetup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D851-1A41-A041-902B-BEDBCD2A4861}">
  <dimension ref="A1:B10"/>
  <sheetViews>
    <sheetView showGridLines="0" workbookViewId="0">
      <pane ySplit="1" topLeftCell="A2" activePane="bottomLeft" state="frozen"/>
      <selection pane="bottomLeft"/>
    </sheetView>
  </sheetViews>
  <sheetFormatPr baseColWidth="10" defaultRowHeight="16"/>
  <cols>
    <col min="1" max="1" width="13.83203125" bestFit="1" customWidth="1"/>
    <col min="2" max="2" width="14.5" bestFit="1" customWidth="1"/>
    <col min="3" max="3" width="22.5" bestFit="1" customWidth="1"/>
    <col min="4" max="4" width="14.5" bestFit="1" customWidth="1"/>
    <col min="5" max="5" width="16" bestFit="1" customWidth="1"/>
  </cols>
  <sheetData>
    <row r="1" spans="1:2" s="12" customFormat="1" ht="25">
      <c r="A1" s="11" t="s">
        <v>34</v>
      </c>
    </row>
    <row r="3" spans="1:2">
      <c r="A3" s="2" t="s">
        <v>14</v>
      </c>
      <c r="B3" t="s">
        <v>30</v>
      </c>
    </row>
    <row r="4" spans="1:2" ht="23">
      <c r="A4" s="3" t="s">
        <v>2</v>
      </c>
      <c r="B4" s="13">
        <v>0.76052661445919878</v>
      </c>
    </row>
    <row r="5" spans="1:2" ht="23">
      <c r="A5" s="3" t="s">
        <v>4</v>
      </c>
      <c r="B5" s="13">
        <v>2.7238678924072182E-2</v>
      </c>
    </row>
    <row r="6" spans="1:2" ht="23">
      <c r="A6" s="3" t="s">
        <v>6</v>
      </c>
      <c r="B6" s="13">
        <v>2.7238678924072182E-2</v>
      </c>
    </row>
    <row r="7" spans="1:2" ht="23">
      <c r="A7" s="3" t="s">
        <v>8</v>
      </c>
      <c r="B7" s="13">
        <v>4.8802633072295994E-2</v>
      </c>
    </row>
    <row r="8" spans="1:2" ht="23">
      <c r="A8" s="3" t="s">
        <v>10</v>
      </c>
      <c r="B8" s="13">
        <v>4.2560435818862784E-2</v>
      </c>
    </row>
    <row r="9" spans="1:2" ht="23">
      <c r="A9" s="3" t="s">
        <v>12</v>
      </c>
      <c r="B9" s="13">
        <v>9.3632958801498134E-2</v>
      </c>
    </row>
    <row r="10" spans="1:2" ht="23">
      <c r="A10" s="3" t="s">
        <v>16</v>
      </c>
      <c r="B10" s="1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64ADB-98FC-9645-BA91-F39694DB1397}">
  <dimension ref="A1:O18"/>
  <sheetViews>
    <sheetView showGridLines="0" zoomScale="109" workbookViewId="0">
      <pane ySplit="1" topLeftCell="A2" activePane="bottomLeft" state="frozen"/>
      <selection pane="bottomLeft" activeCell="G1" sqref="G1"/>
    </sheetView>
  </sheetViews>
  <sheetFormatPr baseColWidth="10" defaultRowHeight="16"/>
  <cols>
    <col min="1" max="1" width="14.5" style="5" bestFit="1" customWidth="1"/>
    <col min="2" max="2" width="16.83203125" style="5" bestFit="1" customWidth="1"/>
    <col min="3" max="5" width="13.6640625" style="5" bestFit="1" customWidth="1"/>
    <col min="6" max="7" width="15.1640625" style="5" bestFit="1" customWidth="1"/>
    <col min="8" max="8" width="7.5" style="5" bestFit="1" customWidth="1"/>
    <col min="9" max="14" width="16.83203125" style="5" bestFit="1" customWidth="1"/>
    <col min="15" max="15" width="13.1640625" style="5" bestFit="1" customWidth="1"/>
    <col min="16" max="16" width="11.83203125" style="5" bestFit="1" customWidth="1"/>
    <col min="17" max="17" width="23" style="5" bestFit="1" customWidth="1"/>
    <col min="18" max="18" width="19" style="5" bestFit="1" customWidth="1"/>
    <col min="19" max="19" width="22" style="5" bestFit="1" customWidth="1"/>
    <col min="20" max="20" width="17.6640625" style="5" bestFit="1" customWidth="1"/>
    <col min="21" max="21" width="20.6640625" style="5" bestFit="1" customWidth="1"/>
    <col min="22" max="22" width="19" style="5" bestFit="1" customWidth="1"/>
    <col min="23" max="23" width="22" style="5" bestFit="1" customWidth="1"/>
    <col min="24" max="24" width="15.33203125" style="5" bestFit="1" customWidth="1"/>
    <col min="25" max="25" width="18.33203125" style="5" bestFit="1" customWidth="1"/>
    <col min="26" max="26" width="16.5" style="5" bestFit="1" customWidth="1"/>
    <col min="27" max="27" width="19.5" style="5" bestFit="1" customWidth="1"/>
    <col min="28" max="28" width="9.6640625" style="5" bestFit="1" customWidth="1"/>
    <col min="29" max="29" width="12.5" style="5" bestFit="1" customWidth="1"/>
    <col min="30" max="30" width="25" style="5" bestFit="1" customWidth="1"/>
    <col min="31" max="31" width="19.6640625" style="5" bestFit="1" customWidth="1"/>
    <col min="32" max="32" width="19" style="5" bestFit="1" customWidth="1"/>
    <col min="33" max="33" width="22" style="5" bestFit="1" customWidth="1"/>
    <col min="34" max="34" width="17.6640625" style="5" bestFit="1" customWidth="1"/>
    <col min="35" max="35" width="20.6640625" style="5" bestFit="1" customWidth="1"/>
    <col min="36" max="36" width="19" style="5" bestFit="1" customWidth="1"/>
    <col min="37" max="37" width="22" style="5" bestFit="1" customWidth="1"/>
    <col min="38" max="38" width="15.33203125" style="5" bestFit="1" customWidth="1"/>
    <col min="39" max="39" width="18.33203125" style="5" bestFit="1" customWidth="1"/>
    <col min="40" max="40" width="16.5" style="5" bestFit="1" customWidth="1"/>
    <col min="41" max="41" width="19.5" style="5" bestFit="1" customWidth="1"/>
    <col min="42" max="42" width="9.6640625" style="5" bestFit="1" customWidth="1"/>
    <col min="43" max="43" width="12.5" style="5" bestFit="1" customWidth="1"/>
    <col min="44" max="44" width="25" style="5" bestFit="1" customWidth="1"/>
    <col min="45" max="45" width="27.6640625" style="5" bestFit="1" customWidth="1"/>
    <col min="46" max="46" width="19.6640625" style="5" bestFit="1" customWidth="1"/>
    <col min="47" max="16384" width="10.83203125" style="5"/>
  </cols>
  <sheetData>
    <row r="1" spans="1:15" s="10" customFormat="1" ht="25">
      <c r="A1" s="9" t="s">
        <v>33</v>
      </c>
      <c r="F1" s="65"/>
    </row>
    <row r="3" spans="1:15">
      <c r="A3" s="7" t="s">
        <v>30</v>
      </c>
      <c r="B3" s="7" t="s">
        <v>29</v>
      </c>
      <c r="C3" s="6"/>
      <c r="D3" s="6"/>
      <c r="E3" s="6"/>
      <c r="F3" s="6"/>
      <c r="G3" s="6"/>
      <c r="H3" s="6"/>
      <c r="I3" s="6"/>
      <c r="J3"/>
      <c r="K3"/>
      <c r="L3"/>
      <c r="M3"/>
      <c r="N3"/>
      <c r="O3"/>
    </row>
    <row r="4" spans="1:15" ht="23">
      <c r="A4" s="7" t="s">
        <v>14</v>
      </c>
      <c r="B4" s="6" t="s">
        <v>2</v>
      </c>
      <c r="C4" s="6" t="s">
        <v>4</v>
      </c>
      <c r="D4" s="6" t="s">
        <v>6</v>
      </c>
      <c r="E4" s="6" t="s">
        <v>8</v>
      </c>
      <c r="F4" s="6" t="s">
        <v>10</v>
      </c>
      <c r="G4" s="6" t="s">
        <v>12</v>
      </c>
      <c r="H4" s="6" t="s">
        <v>15</v>
      </c>
      <c r="I4" s="6" t="s">
        <v>16</v>
      </c>
      <c r="J4"/>
      <c r="K4"/>
      <c r="L4"/>
      <c r="M4"/>
      <c r="N4"/>
      <c r="O4"/>
    </row>
    <row r="5" spans="1:15" ht="23">
      <c r="A5" s="14" t="s">
        <v>15</v>
      </c>
      <c r="B5" s="15"/>
      <c r="C5" s="15"/>
      <c r="D5" s="15"/>
      <c r="E5" s="15"/>
      <c r="F5" s="15"/>
      <c r="G5" s="15"/>
      <c r="H5" s="15"/>
      <c r="I5" s="15"/>
      <c r="J5"/>
      <c r="K5"/>
      <c r="L5"/>
      <c r="M5"/>
      <c r="N5"/>
      <c r="O5"/>
    </row>
    <row r="6" spans="1:15" ht="23">
      <c r="A6" s="14" t="s">
        <v>17</v>
      </c>
      <c r="B6" s="15">
        <v>107000</v>
      </c>
      <c r="C6" s="15">
        <v>4000</v>
      </c>
      <c r="D6" s="15">
        <v>4000</v>
      </c>
      <c r="E6" s="15">
        <v>6000</v>
      </c>
      <c r="F6" s="15">
        <v>10000</v>
      </c>
      <c r="G6" s="15">
        <v>12000</v>
      </c>
      <c r="H6" s="15"/>
      <c r="I6" s="15">
        <v>143000</v>
      </c>
      <c r="J6"/>
      <c r="K6"/>
      <c r="L6"/>
      <c r="M6"/>
      <c r="N6"/>
      <c r="O6"/>
    </row>
    <row r="7" spans="1:15" ht="23">
      <c r="A7" s="14" t="s">
        <v>18</v>
      </c>
      <c r="B7" s="15">
        <v>107000</v>
      </c>
      <c r="C7" s="15">
        <v>4000</v>
      </c>
      <c r="D7" s="15">
        <v>4000</v>
      </c>
      <c r="E7" s="15">
        <v>6000</v>
      </c>
      <c r="F7" s="15">
        <v>5000</v>
      </c>
      <c r="G7" s="15">
        <v>12000</v>
      </c>
      <c r="H7" s="15"/>
      <c r="I7" s="15">
        <v>138000</v>
      </c>
      <c r="J7"/>
      <c r="K7"/>
      <c r="L7"/>
      <c r="M7"/>
      <c r="N7"/>
      <c r="O7"/>
    </row>
    <row r="8" spans="1:15" ht="23">
      <c r="A8" s="14" t="s">
        <v>19</v>
      </c>
      <c r="B8" s="15">
        <v>108000</v>
      </c>
      <c r="C8" s="15">
        <v>4000</v>
      </c>
      <c r="D8" s="15">
        <v>4000</v>
      </c>
      <c r="E8" s="15">
        <v>6000</v>
      </c>
      <c r="F8" s="15">
        <v>5000</v>
      </c>
      <c r="G8" s="15">
        <v>12000</v>
      </c>
      <c r="H8" s="15"/>
      <c r="I8" s="15">
        <v>139000</v>
      </c>
      <c r="J8"/>
      <c r="K8"/>
      <c r="L8"/>
      <c r="M8"/>
      <c r="N8"/>
      <c r="O8"/>
    </row>
    <row r="9" spans="1:15" ht="23">
      <c r="A9" s="14" t="s">
        <v>20</v>
      </c>
      <c r="B9" s="15">
        <v>107000</v>
      </c>
      <c r="C9" s="15">
        <v>4000</v>
      </c>
      <c r="D9" s="15">
        <v>4000</v>
      </c>
      <c r="E9" s="15">
        <v>6000</v>
      </c>
      <c r="F9" s="15">
        <v>10000</v>
      </c>
      <c r="G9" s="15">
        <v>12000</v>
      </c>
      <c r="H9" s="15"/>
      <c r="I9" s="15">
        <v>143000</v>
      </c>
      <c r="J9"/>
      <c r="K9"/>
      <c r="L9"/>
      <c r="M9"/>
      <c r="N9"/>
      <c r="O9"/>
    </row>
    <row r="10" spans="1:15" ht="23">
      <c r="A10" s="14" t="s">
        <v>21</v>
      </c>
      <c r="B10" s="15">
        <v>111100</v>
      </c>
      <c r="C10" s="15">
        <v>4000</v>
      </c>
      <c r="D10" s="15">
        <v>4000</v>
      </c>
      <c r="E10" s="15">
        <v>6000</v>
      </c>
      <c r="F10" s="15">
        <v>4000</v>
      </c>
      <c r="G10" s="15">
        <v>12000</v>
      </c>
      <c r="H10" s="15"/>
      <c r="I10" s="15">
        <v>141100</v>
      </c>
      <c r="J10"/>
      <c r="K10"/>
      <c r="L10"/>
      <c r="M10"/>
      <c r="N10"/>
      <c r="O10"/>
    </row>
    <row r="11" spans="1:15" ht="23">
      <c r="A11" s="14" t="s">
        <v>22</v>
      </c>
      <c r="B11" s="15">
        <v>111100</v>
      </c>
      <c r="C11" s="15">
        <v>4000</v>
      </c>
      <c r="D11" s="15">
        <v>4000</v>
      </c>
      <c r="E11" s="15">
        <v>8000</v>
      </c>
      <c r="F11" s="15">
        <v>4000</v>
      </c>
      <c r="G11" s="15">
        <v>15000</v>
      </c>
      <c r="H11" s="15"/>
      <c r="I11" s="15">
        <v>146100</v>
      </c>
      <c r="J11"/>
      <c r="K11"/>
      <c r="L11"/>
      <c r="M11"/>
      <c r="N11"/>
      <c r="O11"/>
    </row>
    <row r="12" spans="1:15" ht="23">
      <c r="A12" s="14" t="s">
        <v>23</v>
      </c>
      <c r="B12" s="15">
        <v>110000</v>
      </c>
      <c r="C12" s="15">
        <v>4000</v>
      </c>
      <c r="D12" s="15">
        <v>4000</v>
      </c>
      <c r="E12" s="15">
        <v>8000</v>
      </c>
      <c r="F12" s="15">
        <v>8000</v>
      </c>
      <c r="G12" s="15">
        <v>15000</v>
      </c>
      <c r="H12" s="15"/>
      <c r="I12" s="15">
        <v>149000</v>
      </c>
      <c r="J12"/>
      <c r="K12"/>
      <c r="L12"/>
      <c r="M12"/>
      <c r="N12"/>
      <c r="O12"/>
    </row>
    <row r="13" spans="1:15" ht="23">
      <c r="A13" s="14" t="s">
        <v>24</v>
      </c>
      <c r="B13" s="15">
        <v>117000</v>
      </c>
      <c r="C13" s="15">
        <v>4000</v>
      </c>
      <c r="D13" s="15">
        <v>4000</v>
      </c>
      <c r="E13" s="15">
        <v>8000</v>
      </c>
      <c r="F13" s="15">
        <v>6000</v>
      </c>
      <c r="G13" s="15">
        <v>15000</v>
      </c>
      <c r="H13" s="15"/>
      <c r="I13" s="15">
        <v>154000</v>
      </c>
    </row>
    <row r="14" spans="1:15" ht="23">
      <c r="A14" s="14" t="s">
        <v>25</v>
      </c>
      <c r="B14" s="15">
        <v>118000</v>
      </c>
      <c r="C14" s="15">
        <v>4000</v>
      </c>
      <c r="D14" s="15">
        <v>4000</v>
      </c>
      <c r="E14" s="15">
        <v>8000</v>
      </c>
      <c r="F14" s="15">
        <v>3000</v>
      </c>
      <c r="G14" s="15">
        <v>15000</v>
      </c>
      <c r="H14" s="15"/>
      <c r="I14" s="15">
        <v>152000</v>
      </c>
    </row>
    <row r="15" spans="1:15" ht="23">
      <c r="A15" s="14" t="s">
        <v>26</v>
      </c>
      <c r="B15" s="15">
        <v>110000</v>
      </c>
      <c r="C15" s="15">
        <v>4000</v>
      </c>
      <c r="D15" s="15">
        <v>4000</v>
      </c>
      <c r="E15" s="15">
        <v>8000</v>
      </c>
      <c r="F15" s="15">
        <v>10000</v>
      </c>
      <c r="G15" s="15">
        <v>15000</v>
      </c>
      <c r="H15" s="15"/>
      <c r="I15" s="15">
        <v>151000</v>
      </c>
    </row>
    <row r="16" spans="1:15" ht="23">
      <c r="A16" s="14" t="s">
        <v>27</v>
      </c>
      <c r="B16" s="15">
        <v>117000</v>
      </c>
      <c r="C16" s="15">
        <v>4000</v>
      </c>
      <c r="D16" s="15">
        <v>4000</v>
      </c>
      <c r="E16" s="15">
        <v>8000</v>
      </c>
      <c r="F16" s="15">
        <v>3000</v>
      </c>
      <c r="G16" s="15">
        <v>15000</v>
      </c>
      <c r="H16" s="15"/>
      <c r="I16" s="15">
        <v>151000</v>
      </c>
    </row>
    <row r="17" spans="1:9" ht="23">
      <c r="A17" s="14" t="s">
        <v>28</v>
      </c>
      <c r="B17" s="15">
        <v>117000</v>
      </c>
      <c r="C17" s="15">
        <v>4000</v>
      </c>
      <c r="D17" s="15">
        <v>4000</v>
      </c>
      <c r="E17" s="15">
        <v>8000</v>
      </c>
      <c r="F17" s="15">
        <v>7000</v>
      </c>
      <c r="G17" s="15">
        <v>15000</v>
      </c>
      <c r="H17" s="15"/>
      <c r="I17" s="15">
        <v>155000</v>
      </c>
    </row>
    <row r="18" spans="1:9">
      <c r="A18" s="8" t="s">
        <v>16</v>
      </c>
      <c r="B18" s="6">
        <v>1340200</v>
      </c>
      <c r="C18" s="6">
        <v>48000</v>
      </c>
      <c r="D18" s="6">
        <v>48000</v>
      </c>
      <c r="E18" s="6">
        <v>86000</v>
      </c>
      <c r="F18" s="6">
        <v>75000</v>
      </c>
      <c r="G18" s="6">
        <v>165000</v>
      </c>
      <c r="H18" s="6"/>
      <c r="I18" s="6">
        <v>1762200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1FB55-4051-9848-92FE-227E7330C973}">
  <dimension ref="A1:I75"/>
  <sheetViews>
    <sheetView showGridLines="0" workbookViewId="0">
      <pane ySplit="1" topLeftCell="A2" activePane="bottomLeft" state="frozen"/>
      <selection pane="bottomLeft" sqref="A1:XFD1"/>
    </sheetView>
  </sheetViews>
  <sheetFormatPr baseColWidth="10" defaultRowHeight="16"/>
  <cols>
    <col min="1" max="1" width="14" bestFit="1" customWidth="1"/>
    <col min="2" max="2" width="13.6640625" bestFit="1" customWidth="1"/>
    <col min="3" max="3" width="16.83203125" bestFit="1" customWidth="1"/>
    <col min="4" max="4" width="17.5" bestFit="1" customWidth="1"/>
    <col min="6" max="7" width="14" bestFit="1" customWidth="1"/>
    <col min="8" max="9" width="17" bestFit="1" customWidth="1"/>
  </cols>
  <sheetData>
    <row r="1" spans="1:9" s="66" customFormat="1" ht="25">
      <c r="A1" s="66" t="s">
        <v>80</v>
      </c>
    </row>
    <row r="2" spans="1:9">
      <c r="A2" t="s">
        <v>50</v>
      </c>
      <c r="B2" t="s">
        <v>51</v>
      </c>
      <c r="C2" t="s">
        <v>52</v>
      </c>
      <c r="D2" t="s">
        <v>48</v>
      </c>
      <c r="F2" t="s">
        <v>50</v>
      </c>
      <c r="G2" t="s">
        <v>51</v>
      </c>
      <c r="H2" t="s">
        <v>52</v>
      </c>
      <c r="I2" t="s">
        <v>49</v>
      </c>
    </row>
    <row r="3" spans="1:9">
      <c r="A3" s="1">
        <v>44927</v>
      </c>
      <c r="B3" t="s">
        <v>2</v>
      </c>
      <c r="C3" t="s">
        <v>3</v>
      </c>
      <c r="D3">
        <v>107000</v>
      </c>
      <c r="F3" s="1">
        <v>44927</v>
      </c>
      <c r="G3" t="s">
        <v>2</v>
      </c>
      <c r="H3" t="s">
        <v>3</v>
      </c>
      <c r="I3">
        <v>109500</v>
      </c>
    </row>
    <row r="4" spans="1:9">
      <c r="A4" s="1">
        <v>44927</v>
      </c>
      <c r="B4" t="s">
        <v>4</v>
      </c>
      <c r="C4" t="s">
        <v>5</v>
      </c>
      <c r="D4">
        <v>4000</v>
      </c>
      <c r="F4" s="1">
        <v>44927</v>
      </c>
      <c r="G4" t="s">
        <v>4</v>
      </c>
      <c r="H4" t="s">
        <v>5</v>
      </c>
      <c r="I4">
        <v>4200</v>
      </c>
    </row>
    <row r="5" spans="1:9">
      <c r="A5" s="1">
        <v>44927</v>
      </c>
      <c r="B5" t="s">
        <v>6</v>
      </c>
      <c r="C5" t="s">
        <v>7</v>
      </c>
      <c r="D5">
        <v>4000</v>
      </c>
      <c r="F5" s="1">
        <v>44927</v>
      </c>
      <c r="G5" t="s">
        <v>6</v>
      </c>
      <c r="H5" t="s">
        <v>7</v>
      </c>
      <c r="I5">
        <v>3800</v>
      </c>
    </row>
    <row r="6" spans="1:9">
      <c r="A6" s="1">
        <v>44927</v>
      </c>
      <c r="B6" t="s">
        <v>8</v>
      </c>
      <c r="C6" t="s">
        <v>9</v>
      </c>
      <c r="D6">
        <v>6000</v>
      </c>
      <c r="F6" s="1">
        <v>44927</v>
      </c>
      <c r="G6" t="s">
        <v>8</v>
      </c>
      <c r="H6" t="s">
        <v>9</v>
      </c>
      <c r="I6">
        <v>6300</v>
      </c>
    </row>
    <row r="7" spans="1:9">
      <c r="A7" s="1">
        <v>44927</v>
      </c>
      <c r="B7" t="s">
        <v>10</v>
      </c>
      <c r="C7" t="s">
        <v>11</v>
      </c>
      <c r="D7">
        <v>10000</v>
      </c>
      <c r="F7" s="1">
        <v>44927</v>
      </c>
      <c r="G7" t="s">
        <v>10</v>
      </c>
      <c r="H7" t="s">
        <v>11</v>
      </c>
      <c r="I7">
        <v>11200</v>
      </c>
    </row>
    <row r="8" spans="1:9">
      <c r="A8" s="1">
        <v>44927</v>
      </c>
      <c r="B8" t="s">
        <v>12</v>
      </c>
      <c r="C8" t="s">
        <v>13</v>
      </c>
      <c r="D8">
        <v>12000</v>
      </c>
      <c r="F8" s="1">
        <v>44927</v>
      </c>
      <c r="G8" t="s">
        <v>12</v>
      </c>
      <c r="H8" t="s">
        <v>13</v>
      </c>
      <c r="I8">
        <v>11800</v>
      </c>
    </row>
    <row r="9" spans="1:9">
      <c r="A9" s="1">
        <v>44958</v>
      </c>
      <c r="B9" t="s">
        <v>2</v>
      </c>
      <c r="C9" t="s">
        <v>3</v>
      </c>
      <c r="D9">
        <v>107000</v>
      </c>
      <c r="F9" s="1">
        <v>44958</v>
      </c>
      <c r="G9" t="s">
        <v>2</v>
      </c>
      <c r="H9" t="s">
        <v>3</v>
      </c>
      <c r="I9">
        <v>105800</v>
      </c>
    </row>
    <row r="10" spans="1:9">
      <c r="A10" s="1">
        <v>44958</v>
      </c>
      <c r="B10" t="s">
        <v>4</v>
      </c>
      <c r="C10" t="s">
        <v>5</v>
      </c>
      <c r="D10">
        <v>4000</v>
      </c>
      <c r="F10" s="1">
        <v>44958</v>
      </c>
      <c r="G10" t="s">
        <v>4</v>
      </c>
      <c r="H10" t="s">
        <v>5</v>
      </c>
      <c r="I10">
        <v>3900</v>
      </c>
    </row>
    <row r="11" spans="1:9">
      <c r="A11" s="1">
        <v>44958</v>
      </c>
      <c r="B11" t="s">
        <v>6</v>
      </c>
      <c r="C11" t="s">
        <v>7</v>
      </c>
      <c r="D11">
        <v>4000</v>
      </c>
      <c r="F11" s="1">
        <v>44958</v>
      </c>
      <c r="G11" t="s">
        <v>6</v>
      </c>
      <c r="H11" t="s">
        <v>7</v>
      </c>
      <c r="I11">
        <v>4100</v>
      </c>
    </row>
    <row r="12" spans="1:9">
      <c r="A12" s="1">
        <v>44958</v>
      </c>
      <c r="B12" t="s">
        <v>8</v>
      </c>
      <c r="C12" t="s">
        <v>9</v>
      </c>
      <c r="D12">
        <v>6000</v>
      </c>
      <c r="F12" s="1">
        <v>44958</v>
      </c>
      <c r="G12" t="s">
        <v>8</v>
      </c>
      <c r="H12" t="s">
        <v>9</v>
      </c>
      <c r="I12">
        <v>5800</v>
      </c>
    </row>
    <row r="13" spans="1:9">
      <c r="A13" s="1">
        <v>44958</v>
      </c>
      <c r="B13" t="s">
        <v>10</v>
      </c>
      <c r="C13" t="s">
        <v>11</v>
      </c>
      <c r="D13">
        <v>5000</v>
      </c>
      <c r="F13" s="1">
        <v>44958</v>
      </c>
      <c r="G13" t="s">
        <v>10</v>
      </c>
      <c r="H13" t="s">
        <v>11</v>
      </c>
      <c r="I13">
        <v>4700</v>
      </c>
    </row>
    <row r="14" spans="1:9">
      <c r="A14" s="1">
        <v>44958</v>
      </c>
      <c r="B14" t="s">
        <v>12</v>
      </c>
      <c r="C14" t="s">
        <v>13</v>
      </c>
      <c r="D14">
        <v>12000</v>
      </c>
      <c r="F14" s="1">
        <v>44958</v>
      </c>
      <c r="G14" t="s">
        <v>12</v>
      </c>
      <c r="H14" t="s">
        <v>13</v>
      </c>
      <c r="I14">
        <v>12100</v>
      </c>
    </row>
    <row r="15" spans="1:9">
      <c r="A15" s="1">
        <v>44986</v>
      </c>
      <c r="B15" t="s">
        <v>2</v>
      </c>
      <c r="C15" t="s">
        <v>3</v>
      </c>
      <c r="D15">
        <v>108000</v>
      </c>
      <c r="F15" s="1">
        <v>44986</v>
      </c>
      <c r="G15" t="s">
        <v>2</v>
      </c>
      <c r="H15" t="s">
        <v>3</v>
      </c>
      <c r="I15">
        <v>110200</v>
      </c>
    </row>
    <row r="16" spans="1:9">
      <c r="A16" s="1">
        <v>44986</v>
      </c>
      <c r="B16" t="s">
        <v>4</v>
      </c>
      <c r="C16" t="s">
        <v>5</v>
      </c>
      <c r="D16">
        <v>4000</v>
      </c>
      <c r="F16" s="1">
        <v>44986</v>
      </c>
      <c r="G16" t="s">
        <v>4</v>
      </c>
      <c r="H16" t="s">
        <v>5</v>
      </c>
      <c r="I16">
        <v>4200</v>
      </c>
    </row>
    <row r="17" spans="1:9">
      <c r="A17" s="1">
        <v>44986</v>
      </c>
      <c r="B17" t="s">
        <v>6</v>
      </c>
      <c r="C17" t="s">
        <v>7</v>
      </c>
      <c r="D17">
        <v>4000</v>
      </c>
      <c r="F17" s="1">
        <v>44986</v>
      </c>
      <c r="G17" t="s">
        <v>6</v>
      </c>
      <c r="H17" t="s">
        <v>7</v>
      </c>
      <c r="I17">
        <v>3900</v>
      </c>
    </row>
    <row r="18" spans="1:9">
      <c r="A18" s="1">
        <v>44986</v>
      </c>
      <c r="B18" t="s">
        <v>8</v>
      </c>
      <c r="C18" t="s">
        <v>9</v>
      </c>
      <c r="D18">
        <v>6000</v>
      </c>
      <c r="F18" s="1">
        <v>44986</v>
      </c>
      <c r="G18" t="s">
        <v>8</v>
      </c>
      <c r="H18" t="s">
        <v>9</v>
      </c>
      <c r="I18">
        <v>6100</v>
      </c>
    </row>
    <row r="19" spans="1:9">
      <c r="A19" s="1">
        <v>44986</v>
      </c>
      <c r="B19" t="s">
        <v>10</v>
      </c>
      <c r="C19" t="s">
        <v>11</v>
      </c>
      <c r="D19">
        <v>5000</v>
      </c>
      <c r="F19" s="1">
        <v>44986</v>
      </c>
      <c r="G19" t="s">
        <v>10</v>
      </c>
      <c r="H19" t="s">
        <v>11</v>
      </c>
      <c r="I19">
        <v>5300</v>
      </c>
    </row>
    <row r="20" spans="1:9">
      <c r="A20" s="1">
        <v>44986</v>
      </c>
      <c r="B20" t="s">
        <v>12</v>
      </c>
      <c r="C20" t="s">
        <v>13</v>
      </c>
      <c r="D20">
        <v>12000</v>
      </c>
      <c r="F20" s="1">
        <v>44986</v>
      </c>
      <c r="G20" t="s">
        <v>12</v>
      </c>
      <c r="H20" t="s">
        <v>13</v>
      </c>
      <c r="I20">
        <v>11900</v>
      </c>
    </row>
    <row r="21" spans="1:9">
      <c r="A21" s="1">
        <v>45017</v>
      </c>
      <c r="B21" t="s">
        <v>2</v>
      </c>
      <c r="C21" t="s">
        <v>3</v>
      </c>
      <c r="D21">
        <v>107000</v>
      </c>
      <c r="F21" s="1">
        <v>45017</v>
      </c>
      <c r="G21" t="s">
        <v>2</v>
      </c>
      <c r="H21" t="s">
        <v>3</v>
      </c>
      <c r="I21">
        <v>104500</v>
      </c>
    </row>
    <row r="22" spans="1:9">
      <c r="A22" s="1">
        <v>45017</v>
      </c>
      <c r="B22" t="s">
        <v>4</v>
      </c>
      <c r="C22" t="s">
        <v>5</v>
      </c>
      <c r="D22">
        <v>4000</v>
      </c>
      <c r="F22" s="1">
        <v>45017</v>
      </c>
      <c r="G22" t="s">
        <v>4</v>
      </c>
      <c r="H22" t="s">
        <v>5</v>
      </c>
      <c r="I22">
        <v>3800</v>
      </c>
    </row>
    <row r="23" spans="1:9">
      <c r="A23" s="1">
        <v>45017</v>
      </c>
      <c r="B23" t="s">
        <v>6</v>
      </c>
      <c r="C23" t="s">
        <v>7</v>
      </c>
      <c r="D23">
        <v>4000</v>
      </c>
      <c r="F23" s="1">
        <v>45017</v>
      </c>
      <c r="G23" t="s">
        <v>6</v>
      </c>
      <c r="H23" t="s">
        <v>7</v>
      </c>
      <c r="I23">
        <v>4200</v>
      </c>
    </row>
    <row r="24" spans="1:9">
      <c r="A24" s="1">
        <v>45017</v>
      </c>
      <c r="B24" t="s">
        <v>8</v>
      </c>
      <c r="C24" t="s">
        <v>9</v>
      </c>
      <c r="D24">
        <v>6000</v>
      </c>
      <c r="F24" s="1">
        <v>45017</v>
      </c>
      <c r="G24" t="s">
        <v>8</v>
      </c>
      <c r="H24" t="s">
        <v>9</v>
      </c>
      <c r="I24">
        <v>6200</v>
      </c>
    </row>
    <row r="25" spans="1:9">
      <c r="A25" s="1">
        <v>45017</v>
      </c>
      <c r="B25" t="s">
        <v>10</v>
      </c>
      <c r="C25" t="s">
        <v>11</v>
      </c>
      <c r="D25">
        <v>10000</v>
      </c>
      <c r="F25" s="1">
        <v>45017</v>
      </c>
      <c r="G25" t="s">
        <v>10</v>
      </c>
      <c r="H25" t="s">
        <v>11</v>
      </c>
      <c r="I25">
        <v>9500</v>
      </c>
    </row>
    <row r="26" spans="1:9">
      <c r="A26" s="1">
        <v>45017</v>
      </c>
      <c r="B26" t="s">
        <v>12</v>
      </c>
      <c r="C26" t="s">
        <v>13</v>
      </c>
      <c r="D26">
        <v>12000</v>
      </c>
      <c r="F26" s="1">
        <v>45017</v>
      </c>
      <c r="G26" t="s">
        <v>12</v>
      </c>
      <c r="H26" t="s">
        <v>13</v>
      </c>
      <c r="I26">
        <v>12300</v>
      </c>
    </row>
    <row r="27" spans="1:9">
      <c r="A27" s="1">
        <v>45047</v>
      </c>
      <c r="B27" t="s">
        <v>2</v>
      </c>
      <c r="C27" t="s">
        <v>3</v>
      </c>
      <c r="D27">
        <v>111100</v>
      </c>
      <c r="F27" s="1">
        <v>45047</v>
      </c>
      <c r="G27" t="s">
        <v>2</v>
      </c>
      <c r="H27" t="s">
        <v>3</v>
      </c>
      <c r="I27">
        <v>113800</v>
      </c>
    </row>
    <row r="28" spans="1:9">
      <c r="A28" s="1">
        <v>45047</v>
      </c>
      <c r="B28" t="s">
        <v>4</v>
      </c>
      <c r="C28" t="s">
        <v>5</v>
      </c>
      <c r="D28">
        <v>4000</v>
      </c>
      <c r="F28" s="1">
        <v>45047</v>
      </c>
      <c r="G28" t="s">
        <v>4</v>
      </c>
      <c r="H28" t="s">
        <v>5</v>
      </c>
      <c r="I28">
        <v>4100</v>
      </c>
    </row>
    <row r="29" spans="1:9">
      <c r="A29" s="1">
        <v>45047</v>
      </c>
      <c r="B29" t="s">
        <v>6</v>
      </c>
      <c r="C29" t="s">
        <v>7</v>
      </c>
      <c r="D29">
        <v>4000</v>
      </c>
      <c r="F29" s="1">
        <v>45047</v>
      </c>
      <c r="G29" t="s">
        <v>6</v>
      </c>
      <c r="H29" t="s">
        <v>7</v>
      </c>
      <c r="I29">
        <v>3900</v>
      </c>
    </row>
    <row r="30" spans="1:9">
      <c r="A30" s="1">
        <v>45047</v>
      </c>
      <c r="B30" t="s">
        <v>8</v>
      </c>
      <c r="C30" t="s">
        <v>9</v>
      </c>
      <c r="D30">
        <v>6000</v>
      </c>
      <c r="F30" s="1">
        <v>45047</v>
      </c>
      <c r="G30" t="s">
        <v>8</v>
      </c>
      <c r="H30" t="s">
        <v>9</v>
      </c>
      <c r="I30">
        <v>5800</v>
      </c>
    </row>
    <row r="31" spans="1:9">
      <c r="A31" s="1">
        <v>45047</v>
      </c>
      <c r="B31" t="s">
        <v>10</v>
      </c>
      <c r="C31" t="s">
        <v>11</v>
      </c>
      <c r="D31">
        <v>4000</v>
      </c>
      <c r="F31" s="1">
        <v>45047</v>
      </c>
      <c r="G31" t="s">
        <v>10</v>
      </c>
      <c r="H31" t="s">
        <v>11</v>
      </c>
      <c r="I31">
        <v>4200</v>
      </c>
    </row>
    <row r="32" spans="1:9">
      <c r="A32" s="1">
        <v>45047</v>
      </c>
      <c r="B32" t="s">
        <v>12</v>
      </c>
      <c r="C32" t="s">
        <v>13</v>
      </c>
      <c r="D32">
        <v>12000</v>
      </c>
      <c r="F32" s="1">
        <v>45047</v>
      </c>
      <c r="G32" t="s">
        <v>12</v>
      </c>
      <c r="H32" t="s">
        <v>13</v>
      </c>
      <c r="I32">
        <v>12200</v>
      </c>
    </row>
    <row r="33" spans="1:9">
      <c r="A33" s="1">
        <v>45078</v>
      </c>
      <c r="B33" t="s">
        <v>2</v>
      </c>
      <c r="C33" t="s">
        <v>3</v>
      </c>
      <c r="D33">
        <v>111100</v>
      </c>
      <c r="F33" s="1">
        <v>45078</v>
      </c>
      <c r="G33" t="s">
        <v>2</v>
      </c>
      <c r="H33" t="s">
        <v>3</v>
      </c>
      <c r="I33">
        <v>109500</v>
      </c>
    </row>
    <row r="34" spans="1:9">
      <c r="A34" s="1">
        <v>45078</v>
      </c>
      <c r="B34" t="s">
        <v>4</v>
      </c>
      <c r="C34" t="s">
        <v>5</v>
      </c>
      <c r="D34">
        <v>4000</v>
      </c>
      <c r="F34" s="1">
        <v>45078</v>
      </c>
      <c r="G34" t="s">
        <v>4</v>
      </c>
      <c r="H34" t="s">
        <v>5</v>
      </c>
      <c r="I34">
        <v>4200</v>
      </c>
    </row>
    <row r="35" spans="1:9">
      <c r="A35" s="1">
        <v>45078</v>
      </c>
      <c r="B35" t="s">
        <v>6</v>
      </c>
      <c r="C35" t="s">
        <v>7</v>
      </c>
      <c r="D35">
        <v>4000</v>
      </c>
      <c r="F35" s="1">
        <v>45078</v>
      </c>
      <c r="G35" t="s">
        <v>6</v>
      </c>
      <c r="H35" t="s">
        <v>7</v>
      </c>
      <c r="I35">
        <v>4100</v>
      </c>
    </row>
    <row r="36" spans="1:9">
      <c r="A36" s="1">
        <v>45078</v>
      </c>
      <c r="B36" t="s">
        <v>8</v>
      </c>
      <c r="C36" t="s">
        <v>9</v>
      </c>
      <c r="D36">
        <v>8000</v>
      </c>
      <c r="F36" s="1">
        <v>45078</v>
      </c>
      <c r="G36" t="s">
        <v>8</v>
      </c>
      <c r="H36" t="s">
        <v>9</v>
      </c>
      <c r="I36">
        <v>7800</v>
      </c>
    </row>
    <row r="37" spans="1:9">
      <c r="A37" s="1">
        <v>45078</v>
      </c>
      <c r="B37" t="s">
        <v>10</v>
      </c>
      <c r="C37" t="s">
        <v>11</v>
      </c>
      <c r="D37">
        <v>4000</v>
      </c>
      <c r="F37" s="1">
        <v>45078</v>
      </c>
      <c r="G37" t="s">
        <v>10</v>
      </c>
      <c r="H37" t="s">
        <v>11</v>
      </c>
      <c r="I37">
        <v>4300</v>
      </c>
    </row>
    <row r="38" spans="1:9">
      <c r="A38" s="1">
        <v>45078</v>
      </c>
      <c r="B38" t="s">
        <v>12</v>
      </c>
      <c r="C38" t="s">
        <v>13</v>
      </c>
      <c r="D38">
        <v>15000</v>
      </c>
      <c r="F38" s="1">
        <v>45078</v>
      </c>
      <c r="G38" t="s">
        <v>12</v>
      </c>
      <c r="H38" t="s">
        <v>13</v>
      </c>
      <c r="I38">
        <v>14800</v>
      </c>
    </row>
    <row r="39" spans="1:9">
      <c r="A39" s="1">
        <v>45108</v>
      </c>
      <c r="B39" t="s">
        <v>2</v>
      </c>
      <c r="C39" t="s">
        <v>3</v>
      </c>
      <c r="D39">
        <v>110000</v>
      </c>
      <c r="F39" s="1">
        <v>45108</v>
      </c>
      <c r="G39" t="s">
        <v>2</v>
      </c>
      <c r="H39" t="s">
        <v>3</v>
      </c>
      <c r="I39">
        <v>112000</v>
      </c>
    </row>
    <row r="40" spans="1:9">
      <c r="A40" s="1">
        <v>45108</v>
      </c>
      <c r="B40" t="s">
        <v>4</v>
      </c>
      <c r="C40" t="s">
        <v>5</v>
      </c>
      <c r="D40">
        <v>4000</v>
      </c>
      <c r="F40" s="1">
        <v>45108</v>
      </c>
      <c r="G40" t="s">
        <v>4</v>
      </c>
      <c r="H40" t="s">
        <v>5</v>
      </c>
      <c r="I40">
        <v>3900</v>
      </c>
    </row>
    <row r="41" spans="1:9">
      <c r="A41" s="1">
        <v>45108</v>
      </c>
      <c r="B41" t="s">
        <v>6</v>
      </c>
      <c r="C41" t="s">
        <v>7</v>
      </c>
      <c r="D41">
        <v>4000</v>
      </c>
      <c r="F41" s="1">
        <v>45108</v>
      </c>
      <c r="G41" t="s">
        <v>6</v>
      </c>
      <c r="H41" t="s">
        <v>7</v>
      </c>
      <c r="I41">
        <v>4200</v>
      </c>
    </row>
    <row r="42" spans="1:9">
      <c r="A42" s="1">
        <v>45108</v>
      </c>
      <c r="B42" t="s">
        <v>8</v>
      </c>
      <c r="C42" t="s">
        <v>9</v>
      </c>
      <c r="D42">
        <v>8000</v>
      </c>
      <c r="F42" s="1">
        <v>45108</v>
      </c>
      <c r="G42" t="s">
        <v>8</v>
      </c>
      <c r="H42" t="s">
        <v>9</v>
      </c>
      <c r="I42">
        <v>8200</v>
      </c>
    </row>
    <row r="43" spans="1:9">
      <c r="A43" s="1">
        <v>45108</v>
      </c>
      <c r="B43" t="s">
        <v>10</v>
      </c>
      <c r="C43" t="s">
        <v>11</v>
      </c>
      <c r="D43">
        <v>8000</v>
      </c>
      <c r="F43" s="1">
        <v>45108</v>
      </c>
      <c r="G43" t="s">
        <v>10</v>
      </c>
      <c r="H43" t="s">
        <v>11</v>
      </c>
      <c r="I43">
        <v>8500</v>
      </c>
    </row>
    <row r="44" spans="1:9">
      <c r="A44" s="1">
        <v>45108</v>
      </c>
      <c r="B44" t="s">
        <v>12</v>
      </c>
      <c r="C44" t="s">
        <v>13</v>
      </c>
      <c r="D44">
        <v>15000</v>
      </c>
      <c r="F44" s="1">
        <v>45108</v>
      </c>
      <c r="G44" t="s">
        <v>12</v>
      </c>
      <c r="H44" t="s">
        <v>13</v>
      </c>
      <c r="I44">
        <v>15200</v>
      </c>
    </row>
    <row r="45" spans="1:9">
      <c r="A45" s="1">
        <v>45139</v>
      </c>
      <c r="B45" t="s">
        <v>2</v>
      </c>
      <c r="C45" t="s">
        <v>3</v>
      </c>
      <c r="D45">
        <v>117000</v>
      </c>
      <c r="F45" s="1">
        <v>45139</v>
      </c>
      <c r="G45" t="s">
        <v>2</v>
      </c>
      <c r="H45" t="s">
        <v>3</v>
      </c>
      <c r="I45">
        <v>119500</v>
      </c>
    </row>
    <row r="46" spans="1:9">
      <c r="A46" s="1">
        <v>45139</v>
      </c>
      <c r="B46" t="s">
        <v>4</v>
      </c>
      <c r="C46" t="s">
        <v>5</v>
      </c>
      <c r="D46">
        <v>4000</v>
      </c>
      <c r="F46" s="1">
        <v>45139</v>
      </c>
      <c r="G46" t="s">
        <v>4</v>
      </c>
      <c r="H46" t="s">
        <v>5</v>
      </c>
      <c r="I46">
        <v>4100</v>
      </c>
    </row>
    <row r="47" spans="1:9">
      <c r="A47" s="1">
        <v>45139</v>
      </c>
      <c r="B47" t="s">
        <v>6</v>
      </c>
      <c r="C47" t="s">
        <v>7</v>
      </c>
      <c r="D47">
        <v>4000</v>
      </c>
      <c r="F47" s="1">
        <v>45139</v>
      </c>
      <c r="G47" t="s">
        <v>6</v>
      </c>
      <c r="H47" t="s">
        <v>7</v>
      </c>
      <c r="I47">
        <v>3900</v>
      </c>
    </row>
    <row r="48" spans="1:9">
      <c r="A48" s="1">
        <v>45139</v>
      </c>
      <c r="B48" t="s">
        <v>8</v>
      </c>
      <c r="C48" t="s">
        <v>9</v>
      </c>
      <c r="D48">
        <v>8000</v>
      </c>
      <c r="F48" s="1">
        <v>45139</v>
      </c>
      <c r="G48" t="s">
        <v>8</v>
      </c>
      <c r="H48" t="s">
        <v>9</v>
      </c>
      <c r="I48">
        <v>7800</v>
      </c>
    </row>
    <row r="49" spans="1:9">
      <c r="A49" s="1">
        <v>45139</v>
      </c>
      <c r="B49" t="s">
        <v>10</v>
      </c>
      <c r="C49" t="s">
        <v>11</v>
      </c>
      <c r="D49">
        <v>6000</v>
      </c>
      <c r="F49" s="1">
        <v>45139</v>
      </c>
      <c r="G49" t="s">
        <v>10</v>
      </c>
      <c r="H49" t="s">
        <v>11</v>
      </c>
      <c r="I49">
        <v>6500</v>
      </c>
    </row>
    <row r="50" spans="1:9">
      <c r="A50" s="1">
        <v>45139</v>
      </c>
      <c r="B50" t="s">
        <v>12</v>
      </c>
      <c r="C50" t="s">
        <v>13</v>
      </c>
      <c r="D50">
        <v>15000</v>
      </c>
      <c r="F50" s="1">
        <v>45139</v>
      </c>
      <c r="G50" t="s">
        <v>12</v>
      </c>
      <c r="H50" t="s">
        <v>13</v>
      </c>
      <c r="I50">
        <v>14900</v>
      </c>
    </row>
    <row r="51" spans="1:9">
      <c r="A51" s="1">
        <v>45170</v>
      </c>
      <c r="B51" t="s">
        <v>2</v>
      </c>
      <c r="C51" t="s">
        <v>3</v>
      </c>
      <c r="D51">
        <v>118000</v>
      </c>
      <c r="F51" s="1">
        <v>45170</v>
      </c>
      <c r="G51" t="s">
        <v>2</v>
      </c>
      <c r="H51" t="s">
        <v>3</v>
      </c>
      <c r="I51">
        <v>120800</v>
      </c>
    </row>
    <row r="52" spans="1:9">
      <c r="A52" s="1">
        <v>45170</v>
      </c>
      <c r="B52" t="s">
        <v>4</v>
      </c>
      <c r="C52" t="s">
        <v>5</v>
      </c>
      <c r="D52">
        <v>4000</v>
      </c>
      <c r="F52" s="1">
        <v>45170</v>
      </c>
      <c r="G52" t="s">
        <v>4</v>
      </c>
      <c r="H52" t="s">
        <v>5</v>
      </c>
      <c r="I52">
        <v>4200</v>
      </c>
    </row>
    <row r="53" spans="1:9">
      <c r="A53" s="1">
        <v>45170</v>
      </c>
      <c r="B53" t="s">
        <v>6</v>
      </c>
      <c r="C53" t="s">
        <v>7</v>
      </c>
      <c r="D53">
        <v>4000</v>
      </c>
      <c r="F53" s="1">
        <v>45170</v>
      </c>
      <c r="G53" t="s">
        <v>6</v>
      </c>
      <c r="H53" t="s">
        <v>7</v>
      </c>
      <c r="I53">
        <v>4000</v>
      </c>
    </row>
    <row r="54" spans="1:9">
      <c r="A54" s="1">
        <v>45170</v>
      </c>
      <c r="B54" t="s">
        <v>8</v>
      </c>
      <c r="C54" t="s">
        <v>9</v>
      </c>
      <c r="D54">
        <v>8000</v>
      </c>
      <c r="F54" s="1">
        <v>45170</v>
      </c>
      <c r="G54" t="s">
        <v>8</v>
      </c>
      <c r="H54" t="s">
        <v>9</v>
      </c>
      <c r="I54">
        <v>8200</v>
      </c>
    </row>
    <row r="55" spans="1:9">
      <c r="A55" s="1">
        <v>45170</v>
      </c>
      <c r="B55" t="s">
        <v>10</v>
      </c>
      <c r="C55" t="s">
        <v>11</v>
      </c>
      <c r="D55">
        <v>3000</v>
      </c>
      <c r="F55" s="1">
        <v>45170</v>
      </c>
      <c r="G55" t="s">
        <v>10</v>
      </c>
      <c r="H55" t="s">
        <v>11</v>
      </c>
      <c r="I55">
        <v>3200</v>
      </c>
    </row>
    <row r="56" spans="1:9">
      <c r="A56" s="1">
        <v>45170</v>
      </c>
      <c r="B56" t="s">
        <v>12</v>
      </c>
      <c r="C56" t="s">
        <v>13</v>
      </c>
      <c r="D56">
        <v>15000</v>
      </c>
      <c r="F56" s="1">
        <v>45170</v>
      </c>
      <c r="G56" t="s">
        <v>12</v>
      </c>
      <c r="H56" t="s">
        <v>13</v>
      </c>
      <c r="I56">
        <v>15100</v>
      </c>
    </row>
    <row r="57" spans="1:9">
      <c r="A57" s="1">
        <v>45200</v>
      </c>
      <c r="B57" t="s">
        <v>2</v>
      </c>
      <c r="C57" t="s">
        <v>3</v>
      </c>
      <c r="D57">
        <v>110000</v>
      </c>
      <c r="F57" s="1">
        <v>45200</v>
      </c>
      <c r="G57" t="s">
        <v>2</v>
      </c>
      <c r="H57" t="s">
        <v>3</v>
      </c>
      <c r="I57">
        <v>108200</v>
      </c>
    </row>
    <row r="58" spans="1:9">
      <c r="A58" s="1">
        <v>45200</v>
      </c>
      <c r="B58" t="s">
        <v>4</v>
      </c>
      <c r="C58" t="s">
        <v>5</v>
      </c>
      <c r="D58">
        <v>4000</v>
      </c>
      <c r="F58" s="1">
        <v>45200</v>
      </c>
      <c r="G58" t="s">
        <v>4</v>
      </c>
      <c r="H58" t="s">
        <v>5</v>
      </c>
      <c r="I58">
        <v>3900</v>
      </c>
    </row>
    <row r="59" spans="1:9">
      <c r="A59" s="1">
        <v>45200</v>
      </c>
      <c r="B59" t="s">
        <v>6</v>
      </c>
      <c r="C59" t="s">
        <v>7</v>
      </c>
      <c r="D59">
        <v>4000</v>
      </c>
      <c r="F59" s="1">
        <v>45200</v>
      </c>
      <c r="G59" t="s">
        <v>6</v>
      </c>
      <c r="H59" t="s">
        <v>7</v>
      </c>
      <c r="I59">
        <v>4100</v>
      </c>
    </row>
    <row r="60" spans="1:9">
      <c r="A60" s="1">
        <v>45200</v>
      </c>
      <c r="B60" t="s">
        <v>8</v>
      </c>
      <c r="C60" t="s">
        <v>9</v>
      </c>
      <c r="D60">
        <v>8000</v>
      </c>
      <c r="F60" s="1">
        <v>45200</v>
      </c>
      <c r="G60" t="s">
        <v>8</v>
      </c>
      <c r="H60" t="s">
        <v>9</v>
      </c>
      <c r="I60">
        <v>7800</v>
      </c>
    </row>
    <row r="61" spans="1:9">
      <c r="A61" s="1">
        <v>45200</v>
      </c>
      <c r="B61" t="s">
        <v>10</v>
      </c>
      <c r="C61" t="s">
        <v>11</v>
      </c>
      <c r="D61">
        <v>10000</v>
      </c>
      <c r="F61" s="1">
        <v>45200</v>
      </c>
      <c r="G61" t="s">
        <v>10</v>
      </c>
      <c r="H61" t="s">
        <v>11</v>
      </c>
      <c r="I61">
        <v>10800</v>
      </c>
    </row>
    <row r="62" spans="1:9">
      <c r="A62" s="1">
        <v>45200</v>
      </c>
      <c r="B62" t="s">
        <v>12</v>
      </c>
      <c r="C62" t="s">
        <v>13</v>
      </c>
      <c r="D62">
        <v>15000</v>
      </c>
      <c r="F62" s="1">
        <v>45200</v>
      </c>
      <c r="G62" t="s">
        <v>12</v>
      </c>
      <c r="H62" t="s">
        <v>13</v>
      </c>
      <c r="I62">
        <v>15300</v>
      </c>
    </row>
    <row r="63" spans="1:9">
      <c r="A63" s="1">
        <v>45231</v>
      </c>
      <c r="B63" t="s">
        <v>2</v>
      </c>
      <c r="C63" t="s">
        <v>3</v>
      </c>
      <c r="D63">
        <v>117000</v>
      </c>
      <c r="F63" s="1">
        <v>45231</v>
      </c>
      <c r="G63" t="s">
        <v>2</v>
      </c>
      <c r="H63" t="s">
        <v>3</v>
      </c>
      <c r="I63">
        <v>115500</v>
      </c>
    </row>
    <row r="64" spans="1:9">
      <c r="A64" s="1">
        <v>45231</v>
      </c>
      <c r="B64" t="s">
        <v>4</v>
      </c>
      <c r="C64" t="s">
        <v>5</v>
      </c>
      <c r="D64">
        <v>4000</v>
      </c>
      <c r="F64" s="1">
        <v>45231</v>
      </c>
      <c r="G64" t="s">
        <v>4</v>
      </c>
      <c r="H64" t="s">
        <v>5</v>
      </c>
      <c r="I64">
        <v>4200</v>
      </c>
    </row>
    <row r="65" spans="1:9">
      <c r="A65" s="1">
        <v>45231</v>
      </c>
      <c r="B65" t="s">
        <v>6</v>
      </c>
      <c r="C65" t="s">
        <v>7</v>
      </c>
      <c r="D65">
        <v>4000</v>
      </c>
      <c r="F65" s="1">
        <v>45231</v>
      </c>
      <c r="G65" t="s">
        <v>6</v>
      </c>
      <c r="H65" t="s">
        <v>7</v>
      </c>
      <c r="I65">
        <v>3900</v>
      </c>
    </row>
    <row r="66" spans="1:9">
      <c r="A66" s="1">
        <v>45231</v>
      </c>
      <c r="B66" t="s">
        <v>8</v>
      </c>
      <c r="C66" t="s">
        <v>9</v>
      </c>
      <c r="D66">
        <v>8000</v>
      </c>
      <c r="F66" s="1">
        <v>45231</v>
      </c>
      <c r="G66" t="s">
        <v>8</v>
      </c>
      <c r="H66" t="s">
        <v>9</v>
      </c>
      <c r="I66">
        <v>8100</v>
      </c>
    </row>
    <row r="67" spans="1:9">
      <c r="A67" s="1">
        <v>45231</v>
      </c>
      <c r="B67" t="s">
        <v>10</v>
      </c>
      <c r="C67" t="s">
        <v>11</v>
      </c>
      <c r="D67">
        <v>3000</v>
      </c>
      <c r="F67" s="1">
        <v>45231</v>
      </c>
      <c r="G67" t="s">
        <v>10</v>
      </c>
      <c r="H67" t="s">
        <v>11</v>
      </c>
      <c r="I67">
        <v>3100</v>
      </c>
    </row>
    <row r="68" spans="1:9">
      <c r="A68" s="1">
        <v>45231</v>
      </c>
      <c r="B68" t="s">
        <v>12</v>
      </c>
      <c r="C68" t="s">
        <v>13</v>
      </c>
      <c r="D68">
        <v>15000</v>
      </c>
      <c r="F68" s="1">
        <v>45231</v>
      </c>
      <c r="G68" t="s">
        <v>12</v>
      </c>
      <c r="H68" t="s">
        <v>13</v>
      </c>
      <c r="I68">
        <v>15200</v>
      </c>
    </row>
    <row r="69" spans="1:9">
      <c r="A69" s="1">
        <v>45261</v>
      </c>
      <c r="B69" t="s">
        <v>2</v>
      </c>
      <c r="C69" t="s">
        <v>3</v>
      </c>
      <c r="D69">
        <v>117000</v>
      </c>
      <c r="F69" s="1">
        <v>45261</v>
      </c>
      <c r="G69" t="s">
        <v>2</v>
      </c>
      <c r="H69" t="s">
        <v>3</v>
      </c>
      <c r="I69">
        <v>118200</v>
      </c>
    </row>
    <row r="70" spans="1:9">
      <c r="A70" s="1">
        <v>45261</v>
      </c>
      <c r="B70" t="s">
        <v>4</v>
      </c>
      <c r="C70" t="s">
        <v>5</v>
      </c>
      <c r="D70">
        <v>4000</v>
      </c>
      <c r="F70" s="1">
        <v>45261</v>
      </c>
      <c r="G70" t="s">
        <v>4</v>
      </c>
      <c r="H70" t="s">
        <v>5</v>
      </c>
      <c r="I70">
        <v>4100</v>
      </c>
    </row>
    <row r="71" spans="1:9">
      <c r="A71" s="1">
        <v>45261</v>
      </c>
      <c r="B71" t="s">
        <v>6</v>
      </c>
      <c r="C71" t="s">
        <v>7</v>
      </c>
      <c r="D71">
        <v>4000</v>
      </c>
      <c r="F71" s="1">
        <v>45261</v>
      </c>
      <c r="G71" t="s">
        <v>6</v>
      </c>
      <c r="H71" t="s">
        <v>7</v>
      </c>
      <c r="I71">
        <v>4000</v>
      </c>
    </row>
    <row r="72" spans="1:9">
      <c r="A72" s="1">
        <v>45261</v>
      </c>
      <c r="B72" t="s">
        <v>8</v>
      </c>
      <c r="C72" t="s">
        <v>9</v>
      </c>
      <c r="D72">
        <v>8000</v>
      </c>
      <c r="F72" s="1">
        <v>45261</v>
      </c>
      <c r="G72" t="s">
        <v>8</v>
      </c>
      <c r="H72" t="s">
        <v>9</v>
      </c>
      <c r="I72">
        <v>7900</v>
      </c>
    </row>
    <row r="73" spans="1:9">
      <c r="A73" s="1">
        <v>45261</v>
      </c>
      <c r="B73" t="s">
        <v>10</v>
      </c>
      <c r="C73" t="s">
        <v>11</v>
      </c>
      <c r="D73">
        <v>7000</v>
      </c>
      <c r="F73" s="1">
        <v>45261</v>
      </c>
      <c r="G73" t="s">
        <v>10</v>
      </c>
      <c r="H73" t="s">
        <v>11</v>
      </c>
      <c r="I73">
        <v>7200</v>
      </c>
    </row>
    <row r="74" spans="1:9">
      <c r="A74" s="1">
        <v>45261</v>
      </c>
      <c r="B74" t="s">
        <v>12</v>
      </c>
      <c r="C74" t="s">
        <v>13</v>
      </c>
      <c r="D74">
        <v>15000</v>
      </c>
      <c r="F74" s="1">
        <v>45261</v>
      </c>
      <c r="G74" t="s">
        <v>12</v>
      </c>
      <c r="H74" t="s">
        <v>13</v>
      </c>
      <c r="I74">
        <v>14900</v>
      </c>
    </row>
    <row r="75" spans="1:9">
      <c r="F75" s="1"/>
      <c r="G75" s="36"/>
      <c r="H75" s="36"/>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82AA-03CF-4A41-A351-069BC9AACF7B}">
  <dimension ref="A1:F14"/>
  <sheetViews>
    <sheetView showGridLines="0" zoomScale="120" zoomScaleNormal="125" workbookViewId="0">
      <pane ySplit="1" topLeftCell="A2" activePane="bottomLeft" state="frozen"/>
      <selection pane="bottomLeft" sqref="A1:XFD1"/>
    </sheetView>
  </sheetViews>
  <sheetFormatPr baseColWidth="10" defaultRowHeight="16"/>
  <cols>
    <col min="1" max="1" width="14" style="35" bestFit="1" customWidth="1"/>
    <col min="2" max="2" width="15.83203125" bestFit="1" customWidth="1"/>
    <col min="3" max="3" width="15" bestFit="1" customWidth="1"/>
    <col min="4" max="4" width="16.83203125" bestFit="1" customWidth="1"/>
    <col min="5" max="5" width="18.1640625" bestFit="1" customWidth="1"/>
    <col min="6" max="6" width="10.83203125" style="30"/>
    <col min="7" max="7" width="11.6640625" bestFit="1" customWidth="1"/>
  </cols>
  <sheetData>
    <row r="1" spans="1:6" s="66" customFormat="1" ht="25">
      <c r="A1" s="67" t="s">
        <v>81</v>
      </c>
      <c r="F1" s="68"/>
    </row>
    <row r="2" spans="1:6">
      <c r="A2" s="35" t="s">
        <v>0</v>
      </c>
      <c r="B2" t="s">
        <v>53</v>
      </c>
      <c r="C2" t="s">
        <v>54</v>
      </c>
      <c r="D2" t="s">
        <v>56</v>
      </c>
      <c r="E2" t="s">
        <v>55</v>
      </c>
      <c r="F2" s="30" t="s">
        <v>57</v>
      </c>
    </row>
    <row r="3" spans="1:6">
      <c r="A3" s="35">
        <v>44927</v>
      </c>
      <c r="B3">
        <v>143000</v>
      </c>
      <c r="C3">
        <v>146800</v>
      </c>
      <c r="D3">
        <v>3800</v>
      </c>
      <c r="E3">
        <v>2.66</v>
      </c>
      <c r="F3" s="30">
        <f t="shared" ref="F3:F14" si="0">E3/100</f>
        <v>2.6600000000000002E-2</v>
      </c>
    </row>
    <row r="4" spans="1:6">
      <c r="A4" s="35">
        <v>44958</v>
      </c>
      <c r="B4">
        <v>138000</v>
      </c>
      <c r="C4">
        <v>136400</v>
      </c>
      <c r="D4">
        <v>-1600</v>
      </c>
      <c r="E4">
        <v>-1.1599999999999999</v>
      </c>
      <c r="F4" s="30">
        <f t="shared" si="0"/>
        <v>-1.1599999999999999E-2</v>
      </c>
    </row>
    <row r="5" spans="1:6">
      <c r="A5" s="35">
        <v>44986</v>
      </c>
      <c r="B5">
        <v>139000</v>
      </c>
      <c r="C5">
        <v>141600</v>
      </c>
      <c r="D5">
        <v>2600</v>
      </c>
      <c r="E5">
        <v>1.87</v>
      </c>
      <c r="F5" s="30">
        <f t="shared" si="0"/>
        <v>1.8700000000000001E-2</v>
      </c>
    </row>
    <row r="6" spans="1:6">
      <c r="A6" s="35">
        <v>45017</v>
      </c>
      <c r="B6">
        <v>143000</v>
      </c>
      <c r="C6">
        <v>140500</v>
      </c>
      <c r="D6">
        <v>-2500</v>
      </c>
      <c r="E6">
        <v>-1.75</v>
      </c>
      <c r="F6" s="30">
        <f t="shared" si="0"/>
        <v>-1.7500000000000002E-2</v>
      </c>
    </row>
    <row r="7" spans="1:6">
      <c r="A7" s="35">
        <v>45047</v>
      </c>
      <c r="B7">
        <v>141100</v>
      </c>
      <c r="C7">
        <v>144000</v>
      </c>
      <c r="D7">
        <v>2900</v>
      </c>
      <c r="E7">
        <v>2.06</v>
      </c>
      <c r="F7" s="30">
        <f t="shared" si="0"/>
        <v>2.06E-2</v>
      </c>
    </row>
    <row r="8" spans="1:6">
      <c r="A8" s="35">
        <v>45078</v>
      </c>
      <c r="B8">
        <v>146100</v>
      </c>
      <c r="C8">
        <v>144700</v>
      </c>
      <c r="D8">
        <v>-1400</v>
      </c>
      <c r="E8">
        <v>-0.96</v>
      </c>
      <c r="F8" s="30">
        <f t="shared" si="0"/>
        <v>-9.5999999999999992E-3</v>
      </c>
    </row>
    <row r="9" spans="1:6">
      <c r="A9" s="35">
        <v>45108</v>
      </c>
      <c r="B9">
        <v>149000</v>
      </c>
      <c r="C9">
        <v>152000</v>
      </c>
      <c r="D9">
        <v>3000</v>
      </c>
      <c r="E9">
        <v>2.0099999999999998</v>
      </c>
      <c r="F9" s="30">
        <f t="shared" si="0"/>
        <v>2.0099999999999996E-2</v>
      </c>
    </row>
    <row r="10" spans="1:6">
      <c r="A10" s="35">
        <v>45139</v>
      </c>
      <c r="B10">
        <v>154000</v>
      </c>
      <c r="C10">
        <v>156700</v>
      </c>
      <c r="D10">
        <v>2700</v>
      </c>
      <c r="E10">
        <v>1.75</v>
      </c>
      <c r="F10" s="30">
        <f t="shared" si="0"/>
        <v>1.7500000000000002E-2</v>
      </c>
    </row>
    <row r="11" spans="1:6">
      <c r="A11" s="35">
        <v>45170</v>
      </c>
      <c r="B11">
        <v>152000</v>
      </c>
      <c r="C11">
        <v>155500</v>
      </c>
      <c r="D11">
        <v>3500</v>
      </c>
      <c r="E11">
        <v>2.2999999999999998</v>
      </c>
      <c r="F11" s="30">
        <f t="shared" si="0"/>
        <v>2.3E-2</v>
      </c>
    </row>
    <row r="12" spans="1:6">
      <c r="A12" s="35">
        <v>45200</v>
      </c>
      <c r="B12">
        <v>151000</v>
      </c>
      <c r="C12">
        <v>150100</v>
      </c>
      <c r="D12">
        <v>-900</v>
      </c>
      <c r="E12">
        <v>-0.6</v>
      </c>
      <c r="F12" s="30">
        <f t="shared" si="0"/>
        <v>-6.0000000000000001E-3</v>
      </c>
    </row>
    <row r="13" spans="1:6">
      <c r="A13" s="35">
        <v>45231</v>
      </c>
      <c r="B13">
        <v>151000</v>
      </c>
      <c r="C13">
        <v>150000</v>
      </c>
      <c r="D13">
        <v>-1000</v>
      </c>
      <c r="E13">
        <v>-0.66</v>
      </c>
      <c r="F13" s="30">
        <f t="shared" si="0"/>
        <v>-6.6E-3</v>
      </c>
    </row>
    <row r="14" spans="1:6">
      <c r="A14" s="35">
        <v>45261</v>
      </c>
      <c r="B14">
        <v>155000</v>
      </c>
      <c r="C14">
        <v>156300</v>
      </c>
      <c r="D14">
        <v>1300</v>
      </c>
      <c r="E14">
        <v>0.84</v>
      </c>
      <c r="F14" s="30">
        <f t="shared" si="0"/>
        <v>8.3999999999999995E-3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99741-DEDB-6D42-8A6E-32E3D475ABFE}">
  <dimension ref="A1:C26"/>
  <sheetViews>
    <sheetView showGridLines="0" zoomScale="125" workbookViewId="0">
      <pane ySplit="1" topLeftCell="A2" activePane="bottomLeft" state="frozen"/>
      <selection pane="bottomLeft" sqref="A1:XFD1"/>
    </sheetView>
  </sheetViews>
  <sheetFormatPr baseColWidth="10" defaultRowHeight="16"/>
  <cols>
    <col min="1" max="1" width="27.83203125" style="31" bestFit="1" customWidth="1"/>
    <col min="2" max="2" width="13.6640625" style="4" bestFit="1" customWidth="1"/>
    <col min="3" max="3" width="22" style="4" bestFit="1" customWidth="1"/>
  </cols>
  <sheetData>
    <row r="1" spans="1:3" s="66" customFormat="1" ht="25">
      <c r="A1" s="69" t="s">
        <v>82</v>
      </c>
      <c r="B1" s="70"/>
      <c r="C1" s="70"/>
    </row>
    <row r="2" spans="1:3">
      <c r="A2" s="31" t="s">
        <v>41</v>
      </c>
      <c r="B2" s="4" t="s">
        <v>39</v>
      </c>
      <c r="C2" s="4" t="s">
        <v>40</v>
      </c>
    </row>
    <row r="3" spans="1:3">
      <c r="A3" s="31">
        <v>44927</v>
      </c>
      <c r="B3" s="4">
        <v>143000</v>
      </c>
      <c r="C3" s="4">
        <v>143000</v>
      </c>
    </row>
    <row r="4" spans="1:3">
      <c r="A4" s="31">
        <v>44927</v>
      </c>
      <c r="B4" s="4">
        <v>144270</v>
      </c>
      <c r="C4" s="4">
        <v>143635</v>
      </c>
    </row>
    <row r="5" spans="1:3">
      <c r="A5" s="31">
        <v>44958</v>
      </c>
      <c r="B5" s="4">
        <v>138000</v>
      </c>
      <c r="C5" s="4">
        <v>141756.67000000001</v>
      </c>
    </row>
    <row r="6" spans="1:3">
      <c r="A6" s="31">
        <v>44958</v>
      </c>
      <c r="B6" s="4">
        <v>135854</v>
      </c>
      <c r="C6" s="4">
        <v>139374.67000000001</v>
      </c>
    </row>
    <row r="7" spans="1:3">
      <c r="A7" s="31">
        <v>44986</v>
      </c>
      <c r="B7" s="4">
        <v>139000</v>
      </c>
      <c r="C7" s="4">
        <v>137618</v>
      </c>
    </row>
    <row r="8" spans="1:3">
      <c r="A8" s="31">
        <v>44986</v>
      </c>
      <c r="B8" s="4">
        <v>141853</v>
      </c>
      <c r="C8" s="4">
        <v>138902.32999999999</v>
      </c>
    </row>
    <row r="9" spans="1:3">
      <c r="A9" s="31">
        <v>45017</v>
      </c>
      <c r="B9" s="4">
        <v>143000</v>
      </c>
      <c r="C9" s="4">
        <v>141284.32999999999</v>
      </c>
    </row>
    <row r="10" spans="1:3">
      <c r="A10" s="31">
        <v>45017</v>
      </c>
      <c r="B10" s="4">
        <v>148990</v>
      </c>
      <c r="C10" s="4">
        <v>144614.32999999999</v>
      </c>
    </row>
    <row r="11" spans="1:3">
      <c r="A11" s="31">
        <v>45047</v>
      </c>
      <c r="B11" s="4">
        <v>137968</v>
      </c>
      <c r="C11" s="4">
        <v>143319.32999999999</v>
      </c>
    </row>
    <row r="12" spans="1:3">
      <c r="A12" s="31">
        <v>45047</v>
      </c>
      <c r="B12" s="4">
        <v>141100</v>
      </c>
      <c r="C12" s="4">
        <v>142686</v>
      </c>
    </row>
    <row r="13" spans="1:3">
      <c r="A13" s="31">
        <v>45078</v>
      </c>
      <c r="B13" s="4">
        <v>146100</v>
      </c>
      <c r="C13" s="4">
        <v>141722.67000000001</v>
      </c>
    </row>
    <row r="14" spans="1:3">
      <c r="A14" s="31">
        <v>45078</v>
      </c>
      <c r="B14" s="4">
        <v>146960</v>
      </c>
      <c r="C14" s="4">
        <v>144720</v>
      </c>
    </row>
    <row r="15" spans="1:3">
      <c r="A15" s="31">
        <v>45108</v>
      </c>
      <c r="B15" s="4">
        <v>133733</v>
      </c>
      <c r="C15" s="4">
        <v>142264.32999999999</v>
      </c>
    </row>
    <row r="16" spans="1:3">
      <c r="A16" s="31">
        <v>45108</v>
      </c>
      <c r="B16" s="4">
        <v>149000</v>
      </c>
      <c r="C16" s="4">
        <v>143231</v>
      </c>
    </row>
    <row r="17" spans="1:3">
      <c r="A17" s="31">
        <v>45139</v>
      </c>
      <c r="B17" s="4">
        <v>154000</v>
      </c>
      <c r="C17" s="4">
        <v>145577.67000000001</v>
      </c>
    </row>
    <row r="18" spans="1:3">
      <c r="A18" s="31">
        <v>45139</v>
      </c>
      <c r="B18" s="4">
        <v>143800</v>
      </c>
      <c r="C18" s="4">
        <v>148933.32999999999</v>
      </c>
    </row>
    <row r="19" spans="1:3">
      <c r="A19" s="31">
        <v>45170</v>
      </c>
      <c r="B19" s="4">
        <v>152000</v>
      </c>
      <c r="C19" s="4">
        <v>149933.32999999999</v>
      </c>
    </row>
    <row r="20" spans="1:3">
      <c r="A20" s="31">
        <v>45170</v>
      </c>
      <c r="B20" s="4">
        <v>140070</v>
      </c>
      <c r="C20" s="4">
        <v>145290</v>
      </c>
    </row>
    <row r="21" spans="1:3">
      <c r="A21" s="31">
        <v>45200</v>
      </c>
      <c r="B21" s="4">
        <v>151000</v>
      </c>
      <c r="C21" s="4">
        <v>147690</v>
      </c>
    </row>
    <row r="22" spans="1:3">
      <c r="A22" s="31">
        <v>45200</v>
      </c>
      <c r="B22" s="4">
        <v>142238</v>
      </c>
      <c r="C22" s="4">
        <v>144436</v>
      </c>
    </row>
    <row r="23" spans="1:3">
      <c r="A23" s="31">
        <v>45231</v>
      </c>
      <c r="B23" s="4">
        <v>151154</v>
      </c>
      <c r="C23" s="4">
        <v>148130.67000000001</v>
      </c>
    </row>
    <row r="24" spans="1:3">
      <c r="A24" s="31">
        <v>45231</v>
      </c>
      <c r="B24" s="4">
        <v>151000</v>
      </c>
      <c r="C24" s="4">
        <v>148130.67000000001</v>
      </c>
    </row>
    <row r="25" spans="1:3">
      <c r="A25" s="31">
        <v>45261</v>
      </c>
      <c r="B25" s="4">
        <v>151290</v>
      </c>
      <c r="C25" s="4">
        <v>151148</v>
      </c>
    </row>
    <row r="26" spans="1:3">
      <c r="A26" s="31">
        <v>45261</v>
      </c>
      <c r="B26" s="4">
        <v>155000</v>
      </c>
      <c r="C26" s="4">
        <v>152430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6D14C-D394-9A4B-B8C0-D3980158477C}">
  <dimension ref="A1:C26"/>
  <sheetViews>
    <sheetView showGridLines="0" zoomScale="116" zoomScaleNormal="150" workbookViewId="0">
      <pane ySplit="1" topLeftCell="A2" activePane="bottomLeft" state="frozen"/>
      <selection pane="bottomLeft" sqref="A1:XFD1"/>
    </sheetView>
  </sheetViews>
  <sheetFormatPr baseColWidth="10" defaultRowHeight="16"/>
  <cols>
    <col min="1" max="1" width="14" style="35" bestFit="1" customWidth="1"/>
    <col min="2" max="2" width="13.6640625" style="4" bestFit="1" customWidth="1"/>
    <col min="3" max="3" width="19" bestFit="1" customWidth="1"/>
  </cols>
  <sheetData>
    <row r="1" spans="1:3" s="66" customFormat="1" ht="25">
      <c r="A1" s="67" t="s">
        <v>83</v>
      </c>
      <c r="B1" s="70"/>
    </row>
    <row r="2" spans="1:3">
      <c r="A2" s="35" t="s">
        <v>42</v>
      </c>
      <c r="B2" s="4" t="s">
        <v>39</v>
      </c>
      <c r="C2" t="s">
        <v>43</v>
      </c>
    </row>
    <row r="3" spans="1:3">
      <c r="A3" s="35">
        <v>44927</v>
      </c>
      <c r="B3" s="4">
        <v>143000</v>
      </c>
    </row>
    <row r="4" spans="1:3">
      <c r="A4" s="35">
        <v>44927</v>
      </c>
      <c r="B4" s="4">
        <v>144270</v>
      </c>
      <c r="C4">
        <v>0.89</v>
      </c>
    </row>
    <row r="5" spans="1:3">
      <c r="A5" s="35">
        <v>44958</v>
      </c>
      <c r="B5" s="4">
        <v>138000</v>
      </c>
      <c r="C5">
        <v>-4.3499999999999996</v>
      </c>
    </row>
    <row r="6" spans="1:3">
      <c r="A6" s="35">
        <v>44958</v>
      </c>
      <c r="B6" s="4">
        <v>135854</v>
      </c>
      <c r="C6">
        <v>-1.56</v>
      </c>
    </row>
    <row r="7" spans="1:3">
      <c r="A7" s="35">
        <v>44986</v>
      </c>
      <c r="B7" s="4">
        <v>139000</v>
      </c>
      <c r="C7">
        <v>2.3199999999999998</v>
      </c>
    </row>
    <row r="8" spans="1:3">
      <c r="A8" s="35">
        <v>44986</v>
      </c>
      <c r="B8" s="4">
        <v>141853</v>
      </c>
      <c r="C8">
        <v>2.0499999999999998</v>
      </c>
    </row>
    <row r="9" spans="1:3">
      <c r="A9" s="35">
        <v>45017</v>
      </c>
      <c r="B9" s="4">
        <v>143000</v>
      </c>
      <c r="C9">
        <v>0.81</v>
      </c>
    </row>
    <row r="10" spans="1:3">
      <c r="A10" s="35">
        <v>45017</v>
      </c>
      <c r="B10" s="4">
        <v>148990</v>
      </c>
      <c r="C10">
        <v>4.1900000000000004</v>
      </c>
    </row>
    <row r="11" spans="1:3">
      <c r="A11" s="35">
        <v>45047</v>
      </c>
      <c r="B11" s="4">
        <v>137968</v>
      </c>
      <c r="C11">
        <v>-7.4</v>
      </c>
    </row>
    <row r="12" spans="1:3">
      <c r="A12" s="35">
        <v>45047</v>
      </c>
      <c r="B12" s="4">
        <v>141100</v>
      </c>
      <c r="C12">
        <v>2.27</v>
      </c>
    </row>
    <row r="13" spans="1:3">
      <c r="A13" s="35">
        <v>45078</v>
      </c>
      <c r="B13" s="4">
        <v>146100</v>
      </c>
      <c r="C13">
        <v>3.54</v>
      </c>
    </row>
    <row r="14" spans="1:3">
      <c r="A14" s="35">
        <v>45078</v>
      </c>
      <c r="B14" s="4">
        <v>146960</v>
      </c>
      <c r="C14">
        <v>0.59</v>
      </c>
    </row>
    <row r="15" spans="1:3">
      <c r="A15" s="35">
        <v>45108</v>
      </c>
      <c r="B15" s="4">
        <v>133733</v>
      </c>
      <c r="C15">
        <v>-9</v>
      </c>
    </row>
    <row r="16" spans="1:3">
      <c r="A16" s="35">
        <v>45108</v>
      </c>
      <c r="B16" s="4">
        <v>149000</v>
      </c>
      <c r="C16">
        <v>11.42</v>
      </c>
    </row>
    <row r="17" spans="1:3">
      <c r="A17" s="35">
        <v>45139</v>
      </c>
      <c r="B17" s="4">
        <v>154000</v>
      </c>
      <c r="C17">
        <v>3.36</v>
      </c>
    </row>
    <row r="18" spans="1:3">
      <c r="A18" s="35">
        <v>45139</v>
      </c>
      <c r="B18" s="4">
        <v>143800</v>
      </c>
      <c r="C18">
        <v>-6.62</v>
      </c>
    </row>
    <row r="19" spans="1:3">
      <c r="A19" s="35">
        <v>45170</v>
      </c>
      <c r="B19" s="4">
        <v>152000</v>
      </c>
      <c r="C19">
        <v>5.7</v>
      </c>
    </row>
    <row r="20" spans="1:3">
      <c r="A20" s="35">
        <v>45170</v>
      </c>
      <c r="B20" s="4">
        <v>140070</v>
      </c>
      <c r="C20">
        <v>-7.85</v>
      </c>
    </row>
    <row r="21" spans="1:3">
      <c r="A21" s="35">
        <v>45200</v>
      </c>
      <c r="B21" s="4">
        <v>151000</v>
      </c>
      <c r="C21">
        <v>7.8</v>
      </c>
    </row>
    <row r="22" spans="1:3">
      <c r="A22" s="35">
        <v>45200</v>
      </c>
      <c r="B22" s="4">
        <v>142238</v>
      </c>
      <c r="C22">
        <v>-5.8</v>
      </c>
    </row>
    <row r="23" spans="1:3">
      <c r="A23" s="35">
        <v>45231</v>
      </c>
      <c r="B23" s="4">
        <v>151154</v>
      </c>
      <c r="C23">
        <v>6.27</v>
      </c>
    </row>
    <row r="24" spans="1:3">
      <c r="A24" s="35">
        <v>45231</v>
      </c>
      <c r="B24" s="4">
        <v>151000</v>
      </c>
      <c r="C24">
        <v>-0.1</v>
      </c>
    </row>
    <row r="25" spans="1:3">
      <c r="A25" s="35">
        <v>45261</v>
      </c>
      <c r="B25" s="4">
        <v>151290</v>
      </c>
      <c r="C25">
        <v>0.19</v>
      </c>
    </row>
    <row r="26" spans="1:3">
      <c r="A26" s="35">
        <v>45261</v>
      </c>
      <c r="B26" s="4">
        <v>155000</v>
      </c>
      <c r="C26">
        <v>2.4500000000000002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F8076-FFE4-CC49-A09B-D4DD42C61C65}">
  <dimension ref="A1:B8"/>
  <sheetViews>
    <sheetView showGridLines="0" zoomScale="113" workbookViewId="0">
      <pane ySplit="1" topLeftCell="A2" activePane="bottomLeft" state="frozen"/>
      <selection pane="bottomLeft" sqref="A1:XFD1"/>
    </sheetView>
  </sheetViews>
  <sheetFormatPr baseColWidth="10" defaultRowHeight="16"/>
  <cols>
    <col min="1" max="1" width="18" bestFit="1" customWidth="1"/>
    <col min="2" max="2" width="17.5" bestFit="1" customWidth="1"/>
  </cols>
  <sheetData>
    <row r="1" spans="1:2" s="66" customFormat="1" ht="25">
      <c r="A1" s="66" t="s">
        <v>84</v>
      </c>
    </row>
    <row r="2" spans="1:2">
      <c r="A2" t="s">
        <v>1</v>
      </c>
      <c r="B2" t="s">
        <v>44</v>
      </c>
    </row>
    <row r="3" spans="1:2">
      <c r="A3" s="36" t="s">
        <v>2</v>
      </c>
      <c r="B3" s="37">
        <v>4373.6499999999996</v>
      </c>
    </row>
    <row r="4" spans="1:2">
      <c r="A4" s="36" t="s">
        <v>10</v>
      </c>
      <c r="B4" s="37">
        <v>2701.01</v>
      </c>
    </row>
    <row r="5" spans="1:2">
      <c r="A5" s="36" t="s">
        <v>12</v>
      </c>
      <c r="B5" s="37">
        <v>1544.79</v>
      </c>
    </row>
    <row r="6" spans="1:2">
      <c r="A6" s="36" t="s">
        <v>8</v>
      </c>
      <c r="B6" s="37">
        <v>1029.8599999999999</v>
      </c>
    </row>
    <row r="7" spans="1:2">
      <c r="A7" s="36" t="s">
        <v>4</v>
      </c>
      <c r="B7" s="37">
        <v>0</v>
      </c>
    </row>
    <row r="8" spans="1:2">
      <c r="A8" s="36" t="s">
        <v>6</v>
      </c>
      <c r="B8" s="37">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FC2A28-C67F-DF49-BE6C-ED26785AC1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Dashboard Summary</vt:lpstr>
      <vt:lpstr>Department_Spend_Mix</vt:lpstr>
      <vt:lpstr>Monthly_Department_Spend</vt:lpstr>
      <vt:lpstr>Data_Source_SQL_Export</vt:lpstr>
      <vt:lpstr>Budget_Variance_Analysis</vt:lpstr>
      <vt:lpstr>Trend_Data</vt:lpstr>
      <vt:lpstr>MoM_Analysis</vt:lpstr>
      <vt:lpstr>Risk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Garrett Nelson</dc:creator>
  <cp:lastModifiedBy>Garrett Nelson</cp:lastModifiedBy>
  <dcterms:created xsi:type="dcterms:W3CDTF">2026-02-19T17:42:46Z</dcterms:created>
  <dcterms:modified xsi:type="dcterms:W3CDTF">2026-02-20T19:55:27Z</dcterms:modified>
</cp:coreProperties>
</file>